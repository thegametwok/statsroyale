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gametwok\Desktop\"/>
    </mc:Choice>
  </mc:AlternateContent>
  <xr:revisionPtr revIDLastSave="0" documentId="13_ncr:1_{E0AA5F1D-B749-4E22-BF49-9959CA2F52C2}" xr6:coauthVersionLast="34" xr6:coauthVersionMax="34" xr10:uidLastSave="{00000000-0000-0000-0000-000000000000}"/>
  <bookViews>
    <workbookView xWindow="0" yWindow="9600" windowWidth="20400" windowHeight="7590" xr2:uid="{E1D6B07A-F989-4221-B5E0-3EBE255AAFA4}"/>
  </bookViews>
  <sheets>
    <sheet name="O" sheetId="1" r:id="rId1"/>
    <sheet name="C" sheetId="4" r:id="rId2"/>
  </sheets>
  <definedNames>
    <definedName name="ExternalData_1" localSheetId="1" hidden="1">'C'!$A$1:$EC$26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" l="1"/>
  <c r="ED2" i="4"/>
  <c r="ED3" i="4"/>
  <c r="ED4" i="4"/>
  <c r="ED5" i="4"/>
  <c r="ED6" i="4"/>
  <c r="ED7" i="4"/>
  <c r="ED8" i="4"/>
  <c r="ED9" i="4"/>
  <c r="ED10" i="4"/>
  <c r="ED11" i="4"/>
  <c r="ED12" i="4"/>
  <c r="ED13" i="4"/>
  <c r="ED14" i="4"/>
  <c r="ED15" i="4"/>
  <c r="ED16" i="4"/>
  <c r="ED17" i="4"/>
  <c r="ED18" i="4"/>
  <c r="ED19" i="4"/>
  <c r="ED20" i="4"/>
  <c r="ED21" i="4"/>
  <c r="ED22" i="4"/>
  <c r="ED23" i="4"/>
  <c r="ED24" i="4"/>
  <c r="ED25" i="4"/>
  <c r="ED26" i="4"/>
  <c r="EE2" i="4"/>
  <c r="EE3" i="4"/>
  <c r="EE4" i="4"/>
  <c r="EE5" i="4"/>
  <c r="EE6" i="4"/>
  <c r="EE7" i="4"/>
  <c r="EE8" i="4"/>
  <c r="EE9" i="4"/>
  <c r="EE10" i="4"/>
  <c r="EE11" i="4"/>
  <c r="EE12" i="4"/>
  <c r="EE13" i="4"/>
  <c r="EE14" i="4"/>
  <c r="EE15" i="4"/>
  <c r="EE16" i="4"/>
  <c r="EE17" i="4"/>
  <c r="EE18" i="4"/>
  <c r="EE19" i="4"/>
  <c r="EE20" i="4"/>
  <c r="EE21" i="4"/>
  <c r="EE22" i="4"/>
  <c r="EE23" i="4"/>
  <c r="EE24" i="4"/>
  <c r="EE25" i="4"/>
  <c r="EE2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D9A878-36E3-432D-BCB8-0207DB99EC14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030A30C4-EF94-41F9-9EF9-2D0FFE4C86F7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</connections>
</file>

<file path=xl/sharedStrings.xml><?xml version="1.0" encoding="utf-8"?>
<sst xmlns="http://schemas.openxmlformats.org/spreadsheetml/2006/main" count="1631" uniqueCount="452">
  <si>
    <t>type</t>
  </si>
  <si>
    <t>battleTime</t>
  </si>
  <si>
    <t>challengeId</t>
  </si>
  <si>
    <t>arena_id</t>
  </si>
  <si>
    <t>arena_name</t>
  </si>
  <si>
    <t>gameMode_id</t>
  </si>
  <si>
    <t>gameMode_name</t>
  </si>
  <si>
    <t>challengeWinCountBefore</t>
  </si>
  <si>
    <t>deckSelection</t>
  </si>
  <si>
    <t>team_0_tag</t>
  </si>
  <si>
    <t>team_0_name</t>
  </si>
  <si>
    <t>team_0_startingTrophies</t>
  </si>
  <si>
    <t>team_0_crowns</t>
  </si>
  <si>
    <t>team_0_clan_tag</t>
  </si>
  <si>
    <t>team_0_clan_name</t>
  </si>
  <si>
    <t>team_0_clan_badgeId</t>
  </si>
  <si>
    <t>team_0_cards_0_name</t>
  </si>
  <si>
    <t>team_0_cards_0_level</t>
  </si>
  <si>
    <t>team_0_cards_0_maxLevel</t>
  </si>
  <si>
    <t>team_0_cards_1_name</t>
  </si>
  <si>
    <t>team_0_cards_1_level</t>
  </si>
  <si>
    <t>team_0_cards_1_maxLevel</t>
  </si>
  <si>
    <t>team_0_cards_2_name</t>
  </si>
  <si>
    <t>team_0_cards_2_level</t>
  </si>
  <si>
    <t>team_0_cards_2_maxLevel</t>
  </si>
  <si>
    <t>team_0_cards_3_name</t>
  </si>
  <si>
    <t>team_0_cards_3_level</t>
  </si>
  <si>
    <t>team_0_cards_3_maxLevel</t>
  </si>
  <si>
    <t>team_0_cards_4_name</t>
  </si>
  <si>
    <t>team_0_cards_4_level</t>
  </si>
  <si>
    <t>team_0_cards_4_maxLevel</t>
  </si>
  <si>
    <t>team_0_cards_5_name</t>
  </si>
  <si>
    <t>team_0_cards_5_level</t>
  </si>
  <si>
    <t>team_0_cards_5_maxLevel</t>
  </si>
  <si>
    <t>team_0_cards_6_name</t>
  </si>
  <si>
    <t>team_0_cards_6_level</t>
  </si>
  <si>
    <t>team_0_cards_6_maxLevel</t>
  </si>
  <si>
    <t>team_0_cards_7_name</t>
  </si>
  <si>
    <t>team_0_cards_7_level</t>
  </si>
  <si>
    <t>team_0_cards_7_maxLevel</t>
  </si>
  <si>
    <t>team_1_tag</t>
  </si>
  <si>
    <t>team_1_name</t>
  </si>
  <si>
    <t>team_1_startingTrophies</t>
  </si>
  <si>
    <t>team_1_crowns</t>
  </si>
  <si>
    <t>team_1_clan_tag</t>
  </si>
  <si>
    <t>team_1_clan_name</t>
  </si>
  <si>
    <t>team_1_clan_badgeId</t>
  </si>
  <si>
    <t>team_1_cards_0_name</t>
  </si>
  <si>
    <t>team_1_cards_0_level</t>
  </si>
  <si>
    <t>team_1_cards_0_maxLevel</t>
  </si>
  <si>
    <t>team_1_cards_1_name</t>
  </si>
  <si>
    <t>team_1_cards_1_level</t>
  </si>
  <si>
    <t>team_1_cards_1_maxLevel</t>
  </si>
  <si>
    <t>team_1_cards_2_name</t>
  </si>
  <si>
    <t>team_1_cards_2_level</t>
  </si>
  <si>
    <t>team_1_cards_2_maxLevel</t>
  </si>
  <si>
    <t>team_1_cards_3_name</t>
  </si>
  <si>
    <t>team_1_cards_3_level</t>
  </si>
  <si>
    <t>team_1_cards_3_maxLevel</t>
  </si>
  <si>
    <t>team_1_cards_4_name</t>
  </si>
  <si>
    <t>team_1_cards_4_level</t>
  </si>
  <si>
    <t>team_1_cards_4_maxLevel</t>
  </si>
  <si>
    <t>team_1_cards_5_name</t>
  </si>
  <si>
    <t>team_1_cards_5_level</t>
  </si>
  <si>
    <t>team_1_cards_5_maxLevel</t>
  </si>
  <si>
    <t>team_1_cards_6_name</t>
  </si>
  <si>
    <t>team_1_cards_6_level</t>
  </si>
  <si>
    <t>team_1_cards_6_maxLevel</t>
  </si>
  <si>
    <t>team_1_cards_7_name</t>
  </si>
  <si>
    <t>team_1_cards_7_level</t>
  </si>
  <si>
    <t>team_1_cards_7_maxLevel</t>
  </si>
  <si>
    <t>opponent_0_tag</t>
  </si>
  <si>
    <t>opponent_0_name</t>
  </si>
  <si>
    <t>opponent_0_startingTrophies</t>
  </si>
  <si>
    <t>opponent_0_crowns</t>
  </si>
  <si>
    <t>opponent_0_clan_tag</t>
  </si>
  <si>
    <t>opponent_0_clan_name</t>
  </si>
  <si>
    <t>opponent_0_clan_badgeId</t>
  </si>
  <si>
    <t>opponent_0_cards_0_name</t>
  </si>
  <si>
    <t>opponent_0_cards_0_level</t>
  </si>
  <si>
    <t>opponent_0_cards_0_maxLevel</t>
  </si>
  <si>
    <t>opponent_0_cards_1_name</t>
  </si>
  <si>
    <t>opponent_0_cards_1_level</t>
  </si>
  <si>
    <t>opponent_0_cards_1_maxLevel</t>
  </si>
  <si>
    <t>opponent_0_cards_2_name</t>
  </si>
  <si>
    <t>opponent_0_cards_2_level</t>
  </si>
  <si>
    <t>opponent_0_cards_2_maxLevel</t>
  </si>
  <si>
    <t>opponent_0_cards_3_name</t>
  </si>
  <si>
    <t>opponent_0_cards_3_level</t>
  </si>
  <si>
    <t>opponent_0_cards_3_maxLevel</t>
  </si>
  <si>
    <t>opponent_0_cards_4_name</t>
  </si>
  <si>
    <t>opponent_0_cards_4_level</t>
  </si>
  <si>
    <t>opponent_0_cards_4_maxLevel</t>
  </si>
  <si>
    <t>opponent_0_cards_5_name</t>
  </si>
  <si>
    <t>opponent_0_cards_5_level</t>
  </si>
  <si>
    <t>opponent_0_cards_5_maxLevel</t>
  </si>
  <si>
    <t>opponent_0_cards_6_name</t>
  </si>
  <si>
    <t>opponent_0_cards_6_level</t>
  </si>
  <si>
    <t>opponent_0_cards_6_maxLevel</t>
  </si>
  <si>
    <t>opponent_0_cards_7_name</t>
  </si>
  <si>
    <t>opponent_0_cards_7_level</t>
  </si>
  <si>
    <t>opponent_0_cards_7_maxLevel</t>
  </si>
  <si>
    <t>opponent_1_tag</t>
  </si>
  <si>
    <t>opponent_1_name</t>
  </si>
  <si>
    <t>opponent_1_startingTrophies</t>
  </si>
  <si>
    <t>opponent_1_crowns</t>
  </si>
  <si>
    <t>opponent_1_clan_tag</t>
  </si>
  <si>
    <t>opponent_1_clan_name</t>
  </si>
  <si>
    <t>opponent_1_clan_badgeId</t>
  </si>
  <si>
    <t>opponent_1_cards_0_name</t>
  </si>
  <si>
    <t>opponent_1_cards_0_level</t>
  </si>
  <si>
    <t>opponent_1_cards_0_maxLevel</t>
  </si>
  <si>
    <t>opponent_1_cards_1_name</t>
  </si>
  <si>
    <t>opponent_1_cards_1_level</t>
  </si>
  <si>
    <t>opponent_1_cards_1_maxLevel</t>
  </si>
  <si>
    <t>opponent_1_cards_2_name</t>
  </si>
  <si>
    <t>opponent_1_cards_2_level</t>
  </si>
  <si>
    <t>opponent_1_cards_2_maxLevel</t>
  </si>
  <si>
    <t>opponent_1_cards_3_name</t>
  </si>
  <si>
    <t>opponent_1_cards_3_level</t>
  </si>
  <si>
    <t>opponent_1_cards_3_maxLevel</t>
  </si>
  <si>
    <t>opponent_1_cards_4_name</t>
  </si>
  <si>
    <t>opponent_1_cards_4_level</t>
  </si>
  <si>
    <t>opponent_1_cards_4_maxLevel</t>
  </si>
  <si>
    <t>opponent_1_cards_5_name</t>
  </si>
  <si>
    <t>opponent_1_cards_5_level</t>
  </si>
  <si>
    <t>opponent_1_cards_5_maxLevel</t>
  </si>
  <si>
    <t>opponent_1_cards_6_name</t>
  </si>
  <si>
    <t>opponent_1_cards_6_level</t>
  </si>
  <si>
    <t>opponent_1_cards_6_maxLevel</t>
  </si>
  <si>
    <t>opponent_1_cards_7_name</t>
  </si>
  <si>
    <t>opponent_1_cards_7_level</t>
  </si>
  <si>
    <t>opponent_1_cards_7_maxLevel</t>
  </si>
  <si>
    <t/>
  </si>
  <si>
    <t>collection</t>
  </si>
  <si>
    <t>#9YJ9PV9RY</t>
  </si>
  <si>
    <t>thegametwok</t>
  </si>
  <si>
    <t>#99C2GPG9</t>
  </si>
  <si>
    <t>Jedi Council</t>
  </si>
  <si>
    <t>Fireball</t>
  </si>
  <si>
    <t>Skeletons</t>
  </si>
  <si>
    <t>X-Bow</t>
  </si>
  <si>
    <t>Spear Goblins</t>
  </si>
  <si>
    <t>Archers</t>
  </si>
  <si>
    <t>Tesla</t>
  </si>
  <si>
    <t>Barbarian Barrel</t>
  </si>
  <si>
    <t>Zap</t>
  </si>
  <si>
    <t>Wizard</t>
  </si>
  <si>
    <t>Valkyrie</t>
  </si>
  <si>
    <t>Hog Rider</t>
  </si>
  <si>
    <t>Battle Ram</t>
  </si>
  <si>
    <t>The Log</t>
  </si>
  <si>
    <t>Bats</t>
  </si>
  <si>
    <t>Inferno Dragon</t>
  </si>
  <si>
    <t>Poison</t>
  </si>
  <si>
    <t>Arena 4</t>
  </si>
  <si>
    <t>Giant</t>
  </si>
  <si>
    <t>Mega Minion</t>
  </si>
  <si>
    <t>Miner</t>
  </si>
  <si>
    <t>Witch</t>
  </si>
  <si>
    <t>Lumberjack</t>
  </si>
  <si>
    <t>Arena 11</t>
  </si>
  <si>
    <t>Musketeer</t>
  </si>
  <si>
    <t>Tombstone</t>
  </si>
  <si>
    <t>Arrows</t>
  </si>
  <si>
    <t>Goblin Gang</t>
  </si>
  <si>
    <t>Graveyard</t>
  </si>
  <si>
    <t>Bomber</t>
  </si>
  <si>
    <t>Fire Spirits</t>
  </si>
  <si>
    <t>Lava Hound</t>
  </si>
  <si>
    <t>Ice Golem</t>
  </si>
  <si>
    <t>Arena 6</t>
  </si>
  <si>
    <t>Ice Spirit</t>
  </si>
  <si>
    <t>Tornado</t>
  </si>
  <si>
    <t>Royal Ghost</t>
  </si>
  <si>
    <t>Princess</t>
  </si>
  <si>
    <t>Dark Prince</t>
  </si>
  <si>
    <t>Rocket</t>
  </si>
  <si>
    <t>Goblin Barrel</t>
  </si>
  <si>
    <t>Balloon</t>
  </si>
  <si>
    <t>Minions</t>
  </si>
  <si>
    <t>Mega Knight</t>
  </si>
  <si>
    <t>Bandit</t>
  </si>
  <si>
    <t>Electro Wizard</t>
  </si>
  <si>
    <t>Sparky</t>
  </si>
  <si>
    <t>Arena 2</t>
  </si>
  <si>
    <t>Rage</t>
  </si>
  <si>
    <t>Elite Barbarians</t>
  </si>
  <si>
    <t>Skeleton Army</t>
  </si>
  <si>
    <t>Mini P.E.K.K.A</t>
  </si>
  <si>
    <t>Magic Archer</t>
  </si>
  <si>
    <t>Rascals</t>
  </si>
  <si>
    <t>Dart Goblin</t>
  </si>
  <si>
    <t>Executioner</t>
  </si>
  <si>
    <t>Clone</t>
  </si>
  <si>
    <t>Giant Skeleton</t>
  </si>
  <si>
    <t>Prince</t>
  </si>
  <si>
    <t>Minion Horde</t>
  </si>
  <si>
    <t>Bowler</t>
  </si>
  <si>
    <t>Ice Wizard</t>
  </si>
  <si>
    <t>Guards</t>
  </si>
  <si>
    <t>Inferno Tower</t>
  </si>
  <si>
    <t>Knight</t>
  </si>
  <si>
    <t>Goblin Hut</t>
  </si>
  <si>
    <t>Baby Dragon</t>
  </si>
  <si>
    <t>Freeze</t>
  </si>
  <si>
    <t>Mirror</t>
  </si>
  <si>
    <t>Arena 7</t>
  </si>
  <si>
    <t>P.E.K.K.A</t>
  </si>
  <si>
    <t>Royal Giant</t>
  </si>
  <si>
    <t>Goblins</t>
  </si>
  <si>
    <t>Skeleton Barrel</t>
  </si>
  <si>
    <t>Heal</t>
  </si>
  <si>
    <t>Elixir Collector</t>
  </si>
  <si>
    <t>Flying Machine</t>
  </si>
  <si>
    <t>Three Musketeers</t>
  </si>
  <si>
    <t>Zappies</t>
  </si>
  <si>
    <t>Hunter</t>
  </si>
  <si>
    <t>Golem</t>
  </si>
  <si>
    <t>Night Witch</t>
  </si>
  <si>
    <t>Lightning</t>
  </si>
  <si>
    <t>Cannon</t>
  </si>
  <si>
    <t>Mortar</t>
  </si>
  <si>
    <t>Barbarian Hut</t>
  </si>
  <si>
    <t>Furnace</t>
  </si>
  <si>
    <t>challenge</t>
  </si>
  <si>
    <t>League 1</t>
  </si>
  <si>
    <t>Challenge</t>
  </si>
  <si>
    <t>Arena 1</t>
  </si>
  <si>
    <t>Arena 5</t>
  </si>
  <si>
    <t>clanWarCollectionDay</t>
  </si>
  <si>
    <t>Overtime_Ladder</t>
  </si>
  <si>
    <t>PopularDecks_Friendly</t>
  </si>
  <si>
    <t>predefined</t>
  </si>
  <si>
    <t>Arena 12</t>
  </si>
  <si>
    <t>Training Camp</t>
  </si>
  <si>
    <t>result</t>
  </si>
  <si>
    <t>å‘µå‘µ</t>
  </si>
  <si>
    <t>Giant Snowball</t>
  </si>
  <si>
    <t>Barbarians</t>
  </si>
  <si>
    <t>League 3</t>
  </si>
  <si>
    <t>League 2</t>
  </si>
  <si>
    <t>Character</t>
  </si>
  <si>
    <t>Games</t>
  </si>
  <si>
    <t>Average</t>
  </si>
  <si>
    <t>Royal Hogs</t>
  </si>
  <si>
    <t>Cannon Cart</t>
  </si>
  <si>
    <t>Bomb Tower</t>
  </si>
  <si>
    <t>L</t>
  </si>
  <si>
    <t>#289L2UQ22</t>
  </si>
  <si>
    <t>milton</t>
  </si>
  <si>
    <t>#9L2RCVV0</t>
  </si>
  <si>
    <t>Dark Legends Hn</t>
  </si>
  <si>
    <t>#QYPJVJ9Y</t>
  </si>
  <si>
    <t>valth0nis</t>
  </si>
  <si>
    <t>#VQPG88U</t>
  </si>
  <si>
    <t>Resurrekt</t>
  </si>
  <si>
    <t>#9J08PYUYJ</t>
  </si>
  <si>
    <t>daga</t>
  </si>
  <si>
    <t>#99L9CVR0</t>
  </si>
  <si>
    <t>dagas</t>
  </si>
  <si>
    <t>#RJYL2VP</t>
  </si>
  <si>
    <t>ë‚˜ì´íŠ¸ì¼€ì´</t>
  </si>
  <si>
    <t>#2GRU9LC</t>
  </si>
  <si>
    <t>ì‹ ì‚¬ì˜í’ˆê²©</t>
  </si>
  <si>
    <t>#22820LV20</t>
  </si>
  <si>
    <t>Ayax YS ^+^</t>
  </si>
  <si>
    <t>#R2VCVPL</t>
  </si>
  <si>
    <t>PerÃ¹ Royale</t>
  </si>
  <si>
    <t>#Q9QLVCJ9</t>
  </si>
  <si>
    <t>ã‹ã„ã¨</t>
  </si>
  <si>
    <t>#P9V9VRC8</t>
  </si>
  <si>
    <t>æš‡äººãŒé›†ã¾ã‚‹éƒ¨å±‹</t>
  </si>
  <si>
    <t>#88GY820L</t>
  </si>
  <si>
    <t>hawgustuscaesar</t>
  </si>
  <si>
    <t>#Q082RJC</t>
  </si>
  <si>
    <t>OddFuture</t>
  </si>
  <si>
    <t>#8890R8RG0</t>
  </si>
  <si>
    <t>è¡—å¤´ç»…å£«</t>
  </si>
  <si>
    <t>#9LCV8LJP</t>
  </si>
  <si>
    <t>å¹»æ¢¦.é­‡ç­</t>
  </si>
  <si>
    <t>#2Y9L2LLU9</t>
  </si>
  <si>
    <t>âœŒCAIO JEREâœŒ</t>
  </si>
  <si>
    <t>#222JC8R2</t>
  </si>
  <si>
    <t>Babilonia BR</t>
  </si>
  <si>
    <t>2v2</t>
  </si>
  <si>
    <t>TeamVsTeamLadder</t>
  </si>
  <si>
    <t>#9L89LGY2L</t>
  </si>
  <si>
    <t>ãƒŸãƒƒã‚·ã‚§ãƒ«</t>
  </si>
  <si>
    <t>#80QLQ0CY</t>
  </si>
  <si>
    <t>maka-maka</t>
  </si>
  <si>
    <t>#9GUCL0JRG</t>
  </si>
  <si>
    <t>wzh40</t>
  </si>
  <si>
    <t>#9PCPPQQU</t>
  </si>
  <si>
    <t>Xiaozhu</t>
  </si>
  <si>
    <t>#90CJLUJ0G</t>
  </si>
  <si>
    <t>dave</t>
  </si>
  <si>
    <t>#2G9GYLPL</t>
  </si>
  <si>
    <t>conquerors</t>
  </si>
  <si>
    <t>#9RG8GRJP2</t>
  </si>
  <si>
    <t>éš”çƒ­è†œ</t>
  </si>
  <si>
    <t>#CY2VVCJ</t>
  </si>
  <si>
    <t>å‘µå‘µå‘µ(ä¸»éƒ¨)</t>
  </si>
  <si>
    <t>#2LGCYG0GQ</t>
  </si>
  <si>
    <t>berserker billy</t>
  </si>
  <si>
    <t>#9LR0C22</t>
  </si>
  <si>
    <t>Team Canada</t>
  </si>
  <si>
    <t>#8J229YU82</t>
  </si>
  <si>
    <t>juliangamer</t>
  </si>
  <si>
    <t>#9VL9CCCL</t>
  </si>
  <si>
    <t>El NiÃ±o FisiÃ³n</t>
  </si>
  <si>
    <t>#8C90LVRU</t>
  </si>
  <si>
    <t>é£Žæƒ…</t>
  </si>
  <si>
    <t>#9VGP0G00</t>
  </si>
  <si>
    <t>è™ç‹—å…šçš‡å®¤åˆ†éƒ¨</t>
  </si>
  <si>
    <t>#8908C929Y</t>
  </si>
  <si>
    <t>yas</t>
  </si>
  <si>
    <t>#9L28GPQYC</t>
  </si>
  <si>
    <t>jesus alexis</t>
  </si>
  <si>
    <t>#PYJ9LQL2</t>
  </si>
  <si>
    <t>gaver gg</t>
  </si>
  <si>
    <t>#99PG9QPQR</t>
  </si>
  <si>
    <t>papithox</t>
  </si>
  <si>
    <t>#9QJ0RL09</t>
  </si>
  <si>
    <t>canela city</t>
  </si>
  <si>
    <t>#2RYPCRUG9</t>
  </si>
  <si>
    <t>Mystic</t>
  </si>
  <si>
    <t>#2L8R8YG2</t>
  </si>
  <si>
    <t>CUDA</t>
  </si>
  <si>
    <t>#9CQL2222Y</t>
  </si>
  <si>
    <t>ä½ çš„å°é€—æ¯”</t>
  </si>
  <si>
    <t>#282YGLJC</t>
  </si>
  <si>
    <t>å¤ªé˜³éƒ¨è½</t>
  </si>
  <si>
    <t>#9Q8JYR99G</t>
  </si>
  <si>
    <t>abo hamza</t>
  </si>
  <si>
    <t>#2GG2LPPY</t>
  </si>
  <si>
    <t>kings</t>
  </si>
  <si>
    <t>#8V8CJVVGJ</t>
  </si>
  <si>
    <t>Lenchen</t>
  </si>
  <si>
    <t>#8JG8CVJQ</t>
  </si>
  <si>
    <t>Bsbest</t>
  </si>
  <si>
    <t>#2R8LC2VQL</t>
  </si>
  <si>
    <t>BedWarsInfiniti</t>
  </si>
  <si>
    <t>#9J8LV0CJ</t>
  </si>
  <si>
    <t>Lumea lu Davide</t>
  </si>
  <si>
    <t>#89J98PPLG</t>
  </si>
  <si>
    <t>todes schnizel</t>
  </si>
  <si>
    <t>#GUCUPQ</t>
  </si>
  <si>
    <t>BiH</t>
  </si>
  <si>
    <t>#2RLJ9QQUL</t>
  </si>
  <si>
    <t>Arquera de agua</t>
  </si>
  <si>
    <t>#90RLGVU8</t>
  </si>
  <si>
    <t>Courage Team</t>
  </si>
  <si>
    <t>#2C99PJ892</t>
  </si>
  <si>
    <t>chicken little</t>
  </si>
  <si>
    <t>#22JPCUYC</t>
  </si>
  <si>
    <t>Battle Elites</t>
  </si>
  <si>
    <t>#9GCPGJRP2</t>
  </si>
  <si>
    <t>BABA KÄ°NG</t>
  </si>
  <si>
    <t>#P2UUVG8V</t>
  </si>
  <si>
    <t>Amvui</t>
  </si>
  <si>
    <t>#9LYUULJCC</t>
  </si>
  <si>
    <t>arcangel</t>
  </si>
  <si>
    <t>#9QPRV2C9</t>
  </si>
  <si>
    <t>Black Rainbow</t>
  </si>
  <si>
    <t>#2LQR8PVRY</t>
  </si>
  <si>
    <t>Li</t>
  </si>
  <si>
    <t>#8YYV2QJC</t>
  </si>
  <si>
    <t>JOSHETHANBO</t>
  </si>
  <si>
    <t>#2VG8L228</t>
  </si>
  <si>
    <t>dimasbiasaaja</t>
  </si>
  <si>
    <t>#289Y9QUP</t>
  </si>
  <si>
    <t>BIG_FAMILY2</t>
  </si>
  <si>
    <t>#20RPCGV09</t>
  </si>
  <si>
    <t>èˆŒå°–ä¸Šçš„æ±¤åœ†</t>
  </si>
  <si>
    <t>#QLPCJPG</t>
  </si>
  <si>
    <t>å¤œç©º</t>
  </si>
  <si>
    <t>#9889CJQV2</t>
  </si>
  <si>
    <t>æˆ‘è‰¹</t>
  </si>
  <si>
    <t>#9082RVGL</t>
  </si>
  <si>
    <t>Kissã€æ®‡ç’ƒ</t>
  </si>
  <si>
    <t>#9UVCLVPRJ</t>
  </si>
  <si>
    <t>ë³µê¸¸ì´ëŠ”ì–´ë””ë¡œ</t>
  </si>
  <si>
    <t>#PQ0YJ9CR</t>
  </si>
  <si>
    <t>í•˜ë£¨</t>
  </si>
  <si>
    <t>#8QRUYLYQR</t>
  </si>
  <si>
    <t>fighting master</t>
  </si>
  <si>
    <t>#8LCRQ2CP</t>
  </si>
  <si>
    <t>å¤šç´«å¤šä¼ å¥‡å¼€å±€çœ‹éƒ¨è½</t>
  </si>
  <si>
    <t>#90VLYGQPQ</t>
  </si>
  <si>
    <t>Rayman</t>
  </si>
  <si>
    <t>#988V2L2</t>
  </si>
  <si>
    <t>The Stonerzz</t>
  </si>
  <si>
    <t>#90URJU8QV</t>
  </si>
  <si>
    <t>å°ç«çƒ¤åœ°ç“œ</t>
  </si>
  <si>
    <t>#8YG92JLG</t>
  </si>
  <si>
    <t>ç´«è†ä¹‹å·…å…„å¼Ÿè”ç›Ÿ</t>
  </si>
  <si>
    <t>#PCQ8GYGC</t>
  </si>
  <si>
    <t>kballero.O</t>
  </si>
  <si>
    <t>#R90UU2VU</t>
  </si>
  <si>
    <t>#9LV90Q8L</t>
  </si>
  <si>
    <t>Nova I ç¤¾ä¼šä¹‹å®¶</t>
  </si>
  <si>
    <t>#9CRU0U0PJ</t>
  </si>
  <si>
    <t>LORD VOLDEMORT</t>
  </si>
  <si>
    <t>#PQ0YUC2P</t>
  </si>
  <si>
    <t>El Lechero</t>
  </si>
  <si>
    <t>#90QPLLLR9</t>
  </si>
  <si>
    <t>esfera del drag</t>
  </si>
  <si>
    <t>#9CVPC0QU</t>
  </si>
  <si>
    <t>Love &amp; War</t>
  </si>
  <si>
    <t>#9QUULLJVY</t>
  </si>
  <si>
    <t>å°æ±Ÿ</t>
  </si>
  <si>
    <t>#9GUQLVQ8</t>
  </si>
  <si>
    <t>é…¸å¥¶</t>
  </si>
  <si>
    <t>#8U8RL2Q9J</t>
  </si>
  <si>
    <t>TRASHER</t>
  </si>
  <si>
    <t>#2200LR2J</t>
  </si>
  <si>
    <t>!?Ð£Ð ÐÐ›?!</t>
  </si>
  <si>
    <t>#2PYGRGUQL</t>
  </si>
  <si>
    <t>illhufh</t>
  </si>
  <si>
    <t>#8CVU82</t>
  </si>
  <si>
    <t>æ‹‚æ™“ä¹‹å…‰</t>
  </si>
  <si>
    <t>#2P2JCYQRC</t>
  </si>
  <si>
    <t>å¤è‡³æœªè‡³</t>
  </si>
  <si>
    <t>#RYUV0QU</t>
  </si>
  <si>
    <t>çŽ‹è€…</t>
  </si>
  <si>
    <t>margin result</t>
  </si>
  <si>
    <t>#99C88L80J</t>
  </si>
  <si>
    <t>NummmmB</t>
  </si>
  <si>
    <t>#9CY2CVJJ</t>
  </si>
  <si>
    <t>TLSã€å¤©ç‹¼ç¤¾ã€‘</t>
  </si>
  <si>
    <t>#9PJPL8PYL</t>
  </si>
  <si>
    <t>ë…¸ì§±ì‘ë””ì‹œí‹°</t>
  </si>
  <si>
    <t>#9898PPQG</t>
  </si>
  <si>
    <t>ê¸€ë ˆë£¨í„°ëž€</t>
  </si>
  <si>
    <t>#99U80PLLQ</t>
  </si>
  <si>
    <t>Rahul</t>
  </si>
  <si>
    <t>#92YRYQQC</t>
  </si>
  <si>
    <t>AMAZON_FORCE</t>
  </si>
  <si>
    <t>Arena 10</t>
  </si>
  <si>
    <t>#R2VQJYGQ</t>
  </si>
  <si>
    <t>saarlÃ¤ndle</t>
  </si>
  <si>
    <t>#9QPJUCU8</t>
  </si>
  <si>
    <t>melonen crew</t>
  </si>
  <si>
    <t>#9R2QJCJ2J</t>
  </si>
  <si>
    <t>Luciano</t>
  </si>
  <si>
    <t>#9JGLY08C</t>
  </si>
  <si>
    <t>Santa banana pt</t>
  </si>
  <si>
    <t>#980R2GGLU</t>
  </si>
  <si>
    <t>å¹»å½±</t>
  </si>
  <si>
    <t>#8YL2QGQU</t>
  </si>
  <si>
    <t>å¤§åœ£éƒ¨è½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</si>
</sst>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9"/>
      <color theme="1"/>
      <name val="Calibri"/>
      <family val="2"/>
    </font>
    <font>
      <sz val="9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0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5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9525</xdr:colOff>
          <xdr:row>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5</xdr:row>
          <xdr:rowOff>9525</xdr:rowOff>
        </xdr:from>
        <xdr:to>
          <xdr:col>7</xdr:col>
          <xdr:colOff>9525</xdr:colOff>
          <xdr:row>8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142875</xdr:rowOff>
        </xdr:from>
        <xdr:to>
          <xdr:col>6</xdr:col>
          <xdr:colOff>523875</xdr:colOff>
          <xdr:row>11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BLITZ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0</xdr:rowOff>
        </xdr:from>
        <xdr:to>
          <xdr:col>6</xdr:col>
          <xdr:colOff>523875</xdr:colOff>
          <xdr:row>16</xdr:row>
          <xdr:rowOff>38100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21</xdr:row>
          <xdr:rowOff>0</xdr:rowOff>
        </xdr:from>
        <xdr:to>
          <xdr:col>7</xdr:col>
          <xdr:colOff>0</xdr:colOff>
          <xdr:row>24</xdr:row>
          <xdr:rowOff>38100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17</xdr:row>
          <xdr:rowOff>0</xdr:rowOff>
        </xdr:from>
        <xdr:to>
          <xdr:col>5</xdr:col>
          <xdr:colOff>504825</xdr:colOff>
          <xdr:row>20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16</xdr:row>
          <xdr:rowOff>142875</xdr:rowOff>
        </xdr:from>
        <xdr:to>
          <xdr:col>7</xdr:col>
          <xdr:colOff>9525</xdr:colOff>
          <xdr:row>19</xdr:row>
          <xdr:rowOff>142875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25</xdr:row>
          <xdr:rowOff>9525</xdr:rowOff>
        </xdr:from>
        <xdr:to>
          <xdr:col>7</xdr:col>
          <xdr:colOff>19050</xdr:colOff>
          <xdr:row>28</xdr:row>
          <xdr:rowOff>9525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SPLITS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E3475A1-B851-4212-90CC-099C845256F5}" autoFormatId="16" applyNumberFormats="0" applyBorderFormats="0" applyFontFormats="0" applyPatternFormats="0" applyAlignmentFormats="0" applyWidthHeightFormats="0">
  <queryTableRefresh nextId="136" unboundColumnsRight="2">
    <queryTableFields count="135">
      <queryTableField id="1" name="type" tableColumnId="1"/>
      <queryTableField id="2" name="battleTime" tableColumnId="2"/>
      <queryTableField id="3" name="challengeId" tableColumnId="3"/>
      <queryTableField id="4" name="arena_id" tableColumnId="4"/>
      <queryTableField id="5" name="arena_name" tableColumnId="5"/>
      <queryTableField id="6" name="gameMode_id" tableColumnId="6"/>
      <queryTableField id="7" name="gameMode_name" tableColumnId="7"/>
      <queryTableField id="8" name="challengeWinCountBefore" tableColumnId="8"/>
      <queryTableField id="9" name="deckSelection" tableColumnId="9"/>
      <queryTableField id="10" name="team_0_tag" tableColumnId="10"/>
      <queryTableField id="11" name="team_0_name" tableColumnId="11"/>
      <queryTableField id="12" name="team_0_startingTrophies" tableColumnId="12"/>
      <queryTableField id="13" name="team_0_crowns" tableColumnId="13"/>
      <queryTableField id="14" name="team_0_clan_tag" tableColumnId="14"/>
      <queryTableField id="15" name="team_0_clan_name" tableColumnId="15"/>
      <queryTableField id="16" name="team_0_clan_badgeId" tableColumnId="16"/>
      <queryTableField id="17" name="team_0_cards_0_name" tableColumnId="17"/>
      <queryTableField id="18" name="team_0_cards_0_level" tableColumnId="18"/>
      <queryTableField id="19" name="team_0_cards_0_maxLevel" tableColumnId="19"/>
      <queryTableField id="20" name="team_0_cards_1_name" tableColumnId="20"/>
      <queryTableField id="21" name="team_0_cards_1_level" tableColumnId="21"/>
      <queryTableField id="22" name="team_0_cards_1_maxLevel" tableColumnId="22"/>
      <queryTableField id="23" name="team_0_cards_2_name" tableColumnId="23"/>
      <queryTableField id="24" name="team_0_cards_2_level" tableColumnId="24"/>
      <queryTableField id="25" name="team_0_cards_2_maxLevel" tableColumnId="25"/>
      <queryTableField id="26" name="team_0_cards_3_name" tableColumnId="26"/>
      <queryTableField id="27" name="team_0_cards_3_level" tableColumnId="27"/>
      <queryTableField id="28" name="team_0_cards_3_maxLevel" tableColumnId="28"/>
      <queryTableField id="29" name="team_0_cards_4_name" tableColumnId="29"/>
      <queryTableField id="30" name="team_0_cards_4_level" tableColumnId="30"/>
      <queryTableField id="31" name="team_0_cards_4_maxLevel" tableColumnId="31"/>
      <queryTableField id="32" name="team_0_cards_5_name" tableColumnId="32"/>
      <queryTableField id="33" name="team_0_cards_5_level" tableColumnId="33"/>
      <queryTableField id="34" name="team_0_cards_5_maxLevel" tableColumnId="34"/>
      <queryTableField id="35" name="team_0_cards_6_name" tableColumnId="35"/>
      <queryTableField id="36" name="team_0_cards_6_level" tableColumnId="36"/>
      <queryTableField id="37" name="team_0_cards_6_maxLevel" tableColumnId="37"/>
      <queryTableField id="38" name="team_0_cards_7_name" tableColumnId="38"/>
      <queryTableField id="39" name="team_0_cards_7_level" tableColumnId="39"/>
      <queryTableField id="40" name="team_0_cards_7_maxLevel" tableColumnId="40"/>
      <queryTableField id="41" name="team_1_tag" tableColumnId="41"/>
      <queryTableField id="42" name="team_1_name" tableColumnId="42"/>
      <queryTableField id="43" name="team_1_startingTrophies" tableColumnId="43"/>
      <queryTableField id="44" name="team_1_crowns" tableColumnId="44"/>
      <queryTableField id="45" name="team_1_clan_tag" tableColumnId="45"/>
      <queryTableField id="46" name="team_1_clan_name" tableColumnId="46"/>
      <queryTableField id="47" name="team_1_clan_badgeId" tableColumnId="47"/>
      <queryTableField id="48" name="team_1_cards_0_name" tableColumnId="48"/>
      <queryTableField id="49" name="team_1_cards_0_level" tableColumnId="49"/>
      <queryTableField id="50" name="team_1_cards_0_maxLevel" tableColumnId="50"/>
      <queryTableField id="51" name="team_1_cards_1_name" tableColumnId="51"/>
      <queryTableField id="52" name="team_1_cards_1_level" tableColumnId="52"/>
      <queryTableField id="53" name="team_1_cards_1_maxLevel" tableColumnId="53"/>
      <queryTableField id="54" name="team_1_cards_2_name" tableColumnId="54"/>
      <queryTableField id="55" name="team_1_cards_2_level" tableColumnId="55"/>
      <queryTableField id="56" name="team_1_cards_2_maxLevel" tableColumnId="56"/>
      <queryTableField id="57" name="team_1_cards_3_name" tableColumnId="57"/>
      <queryTableField id="58" name="team_1_cards_3_level" tableColumnId="58"/>
      <queryTableField id="59" name="team_1_cards_3_maxLevel" tableColumnId="59"/>
      <queryTableField id="60" name="team_1_cards_4_name" tableColumnId="60"/>
      <queryTableField id="61" name="team_1_cards_4_level" tableColumnId="61"/>
      <queryTableField id="62" name="team_1_cards_4_maxLevel" tableColumnId="62"/>
      <queryTableField id="63" name="team_1_cards_5_name" tableColumnId="63"/>
      <queryTableField id="64" name="team_1_cards_5_level" tableColumnId="64"/>
      <queryTableField id="65" name="team_1_cards_5_maxLevel" tableColumnId="65"/>
      <queryTableField id="66" name="team_1_cards_6_name" tableColumnId="66"/>
      <queryTableField id="67" name="team_1_cards_6_level" tableColumnId="67"/>
      <queryTableField id="68" name="team_1_cards_6_maxLevel" tableColumnId="68"/>
      <queryTableField id="69" name="team_1_cards_7_name" tableColumnId="69"/>
      <queryTableField id="70" name="team_1_cards_7_level" tableColumnId="70"/>
      <queryTableField id="71" name="team_1_cards_7_maxLevel" tableColumnId="71"/>
      <queryTableField id="72" name="opponent_0_tag" tableColumnId="72"/>
      <queryTableField id="73" name="opponent_0_name" tableColumnId="73"/>
      <queryTableField id="74" name="opponent_0_startingTrophies" tableColumnId="74"/>
      <queryTableField id="75" name="opponent_0_crowns" tableColumnId="75"/>
      <queryTableField id="76" name="opponent_0_clan_tag" tableColumnId="76"/>
      <queryTableField id="77" name="opponent_0_clan_name" tableColumnId="77"/>
      <queryTableField id="78" name="opponent_0_clan_badgeId" tableColumnId="78"/>
      <queryTableField id="79" name="opponent_0_cards_0_name" tableColumnId="79"/>
      <queryTableField id="80" name="opponent_0_cards_0_level" tableColumnId="80"/>
      <queryTableField id="81" name="opponent_0_cards_0_maxLevel" tableColumnId="81"/>
      <queryTableField id="82" name="opponent_0_cards_1_name" tableColumnId="82"/>
      <queryTableField id="83" name="opponent_0_cards_1_level" tableColumnId="83"/>
      <queryTableField id="84" name="opponent_0_cards_1_maxLevel" tableColumnId="84"/>
      <queryTableField id="85" name="opponent_0_cards_2_name" tableColumnId="85"/>
      <queryTableField id="86" name="opponent_0_cards_2_level" tableColumnId="86"/>
      <queryTableField id="87" name="opponent_0_cards_2_maxLevel" tableColumnId="87"/>
      <queryTableField id="88" name="opponent_0_cards_3_name" tableColumnId="88"/>
      <queryTableField id="89" name="opponent_0_cards_3_level" tableColumnId="89"/>
      <queryTableField id="90" name="opponent_0_cards_3_maxLevel" tableColumnId="90"/>
      <queryTableField id="91" name="opponent_0_cards_4_name" tableColumnId="91"/>
      <queryTableField id="92" name="opponent_0_cards_4_level" tableColumnId="92"/>
      <queryTableField id="93" name="opponent_0_cards_4_maxLevel" tableColumnId="93"/>
      <queryTableField id="94" name="opponent_0_cards_5_name" tableColumnId="94"/>
      <queryTableField id="95" name="opponent_0_cards_5_level" tableColumnId="95"/>
      <queryTableField id="96" name="opponent_0_cards_5_maxLevel" tableColumnId="96"/>
      <queryTableField id="97" name="opponent_0_cards_6_name" tableColumnId="97"/>
      <queryTableField id="98" name="opponent_0_cards_6_level" tableColumnId="98"/>
      <queryTableField id="99" name="opponent_0_cards_6_maxLevel" tableColumnId="99"/>
      <queryTableField id="100" name="opponent_0_cards_7_name" tableColumnId="100"/>
      <queryTableField id="101" name="opponent_0_cards_7_level" tableColumnId="101"/>
      <queryTableField id="102" name="opponent_0_cards_7_maxLevel" tableColumnId="102"/>
      <queryTableField id="103" name="opponent_1_tag" tableColumnId="103"/>
      <queryTableField id="104" name="opponent_1_name" tableColumnId="104"/>
      <queryTableField id="105" name="opponent_1_startingTrophies" tableColumnId="105"/>
      <queryTableField id="106" name="opponent_1_crowns" tableColumnId="106"/>
      <queryTableField id="107" name="opponent_1_clan_tag" tableColumnId="107"/>
      <queryTableField id="108" name="opponent_1_clan_name" tableColumnId="108"/>
      <queryTableField id="109" name="opponent_1_clan_badgeId" tableColumnId="109"/>
      <queryTableField id="110" name="opponent_1_cards_0_name" tableColumnId="110"/>
      <queryTableField id="111" name="opponent_1_cards_0_level" tableColumnId="111"/>
      <queryTableField id="112" name="opponent_1_cards_0_maxLevel" tableColumnId="112"/>
      <queryTableField id="113" name="opponent_1_cards_1_name" tableColumnId="113"/>
      <queryTableField id="114" name="opponent_1_cards_1_level" tableColumnId="114"/>
      <queryTableField id="115" name="opponent_1_cards_1_maxLevel" tableColumnId="115"/>
      <queryTableField id="116" name="opponent_1_cards_2_name" tableColumnId="116"/>
      <queryTableField id="117" name="opponent_1_cards_2_level" tableColumnId="117"/>
      <queryTableField id="118" name="opponent_1_cards_2_maxLevel" tableColumnId="118"/>
      <queryTableField id="119" name="opponent_1_cards_3_name" tableColumnId="119"/>
      <queryTableField id="120" name="opponent_1_cards_3_level" tableColumnId="120"/>
      <queryTableField id="121" name="opponent_1_cards_3_maxLevel" tableColumnId="121"/>
      <queryTableField id="122" name="opponent_1_cards_4_name" tableColumnId="122"/>
      <queryTableField id="123" name="opponent_1_cards_4_level" tableColumnId="123"/>
      <queryTableField id="124" name="opponent_1_cards_4_maxLevel" tableColumnId="124"/>
      <queryTableField id="125" name="opponent_1_cards_5_name" tableColumnId="125"/>
      <queryTableField id="126" name="opponent_1_cards_5_level" tableColumnId="126"/>
      <queryTableField id="127" name="opponent_1_cards_5_maxLevel" tableColumnId="127"/>
      <queryTableField id="128" name="opponent_1_cards_6_name" tableColumnId="128"/>
      <queryTableField id="129" name="opponent_1_cards_6_level" tableColumnId="129"/>
      <queryTableField id="130" name="opponent_1_cards_6_maxLevel" tableColumnId="130"/>
      <queryTableField id="131" name="opponent_1_cards_7_name" tableColumnId="131"/>
      <queryTableField id="132" name="opponent_1_cards_7_level" tableColumnId="132"/>
      <queryTableField id="133" name="opponent_1_cards_7_maxLevel" tableColumnId="133"/>
      <queryTableField id="134" dataBound="0" tableColumnId="134"/>
      <queryTableField id="135" dataBound="0" tableColumnId="13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FF9169-B24C-4608-A352-8E9A29CA2906}" name="csv__2" displayName="csv__2" ref="A1:EE26" tableType="queryTable" totalsRowShown="0">
  <autoFilter ref="A1:EE26" xr:uid="{62A1CB9E-5BCC-4583-AA65-9AAB730337AC}"/>
  <tableColumns count="135">
    <tableColumn id="1" xr3:uid="{2B7916BA-1E6C-4D13-8213-32173BDC6B9A}" uniqueName="1" name="type" queryTableFieldId="1" dataDxfId="54"/>
    <tableColumn id="2" xr3:uid="{0446FBA7-7336-47C6-B662-CF83DA512153}" uniqueName="2" name="battleTime" queryTableFieldId="2" dataDxfId="53"/>
    <tableColumn id="3" xr3:uid="{46DF03C0-8175-49A1-B169-B97F7F0DAD43}" uniqueName="3" name="challengeId" queryTableFieldId="3"/>
    <tableColumn id="4" xr3:uid="{14D26898-0B52-42EC-A619-72F63AD3FE1F}" uniqueName="4" name="arena_id" queryTableFieldId="4"/>
    <tableColumn id="5" xr3:uid="{70046F0F-086D-4E5B-928C-0C333206E79D}" uniqueName="5" name="arena_name" queryTableFieldId="5" dataDxfId="52"/>
    <tableColumn id="6" xr3:uid="{15302FEE-34E1-45EE-BFC8-E720D29886BF}" uniqueName="6" name="gameMode_id" queryTableFieldId="6"/>
    <tableColumn id="7" xr3:uid="{5942BAD0-7F05-48B4-A286-34D55294DC2D}" uniqueName="7" name="gameMode_name" queryTableFieldId="7" dataDxfId="51"/>
    <tableColumn id="8" xr3:uid="{C7B2028A-1605-4E0D-B728-9AB873630BBE}" uniqueName="8" name="challengeWinCountBefore" queryTableFieldId="8"/>
    <tableColumn id="9" xr3:uid="{AA349EA1-B9A5-4F7F-90BD-3659223DDF13}" uniqueName="9" name="deckSelection" queryTableFieldId="9" dataDxfId="50"/>
    <tableColumn id="10" xr3:uid="{8CFF2F0A-9EAD-494A-AED7-E59FF0E0B2A0}" uniqueName="10" name="team_0_tag" queryTableFieldId="10" dataDxfId="49"/>
    <tableColumn id="11" xr3:uid="{213A69F6-83BD-4FFE-A0F9-5B769D1D6CA2}" uniqueName="11" name="team_0_name" queryTableFieldId="11" dataDxfId="48"/>
    <tableColumn id="12" xr3:uid="{EAD723FE-1BC7-4ECB-92AB-EB497C8359FB}" uniqueName="12" name="team_0_startingTrophies" queryTableFieldId="12"/>
    <tableColumn id="13" xr3:uid="{80269310-455D-4C07-9F76-44921F34CCEC}" uniqueName="13" name="team_0_crowns" queryTableFieldId="13"/>
    <tableColumn id="14" xr3:uid="{447F7655-E2C3-45CF-8671-35FA744FC534}" uniqueName="14" name="team_0_clan_tag" queryTableFieldId="14" dataDxfId="47"/>
    <tableColumn id="15" xr3:uid="{17B0608E-2685-4310-8C15-94C3A39F7433}" uniqueName="15" name="team_0_clan_name" queryTableFieldId="15" dataDxfId="46"/>
    <tableColumn id="16" xr3:uid="{C53603E2-6958-442D-8DBE-41BD9D1D557C}" uniqueName="16" name="team_0_clan_badgeId" queryTableFieldId="16"/>
    <tableColumn id="17" xr3:uid="{A243CC5D-4BED-4A33-811E-B71E2C900F8B}" uniqueName="17" name="team_0_cards_0_name" queryTableFieldId="17" dataDxfId="45"/>
    <tableColumn id="18" xr3:uid="{90251A70-68D7-418E-8C67-B26A54C74C34}" uniqueName="18" name="team_0_cards_0_level" queryTableFieldId="18"/>
    <tableColumn id="19" xr3:uid="{48FF4EEE-B93C-4C5F-9290-398741A7B1A4}" uniqueName="19" name="team_0_cards_0_maxLevel" queryTableFieldId="19"/>
    <tableColumn id="20" xr3:uid="{D151086F-5780-4DFD-90A8-5F716948B803}" uniqueName="20" name="team_0_cards_1_name" queryTableFieldId="20" dataDxfId="44"/>
    <tableColumn id="21" xr3:uid="{B10BDA7C-0D76-49C2-B1FD-36E1B1E90B97}" uniqueName="21" name="team_0_cards_1_level" queryTableFieldId="21"/>
    <tableColumn id="22" xr3:uid="{2745310B-9F04-4C58-AAF6-6D049AFFF8AB}" uniqueName="22" name="team_0_cards_1_maxLevel" queryTableFieldId="22"/>
    <tableColumn id="23" xr3:uid="{629CC236-0B68-48D6-9873-F0A5B639B170}" uniqueName="23" name="team_0_cards_2_name" queryTableFieldId="23" dataDxfId="43"/>
    <tableColumn id="24" xr3:uid="{DD75FCEC-5B30-41D3-A19A-66B3AF583004}" uniqueName="24" name="team_0_cards_2_level" queryTableFieldId="24"/>
    <tableColumn id="25" xr3:uid="{83D427CC-2BA9-4A0F-9A2E-82ADAD8364CC}" uniqueName="25" name="team_0_cards_2_maxLevel" queryTableFieldId="25"/>
    <tableColumn id="26" xr3:uid="{427B869E-C6E1-4E5B-B08F-0CB76F414BFC}" uniqueName="26" name="team_0_cards_3_name" queryTableFieldId="26" dataDxfId="42"/>
    <tableColumn id="27" xr3:uid="{361E8CD9-C479-43C0-B3AC-7431DC86A10E}" uniqueName="27" name="team_0_cards_3_level" queryTableFieldId="27"/>
    <tableColumn id="28" xr3:uid="{6671C4FD-305F-4FC7-A299-96142E9F34DB}" uniqueName="28" name="team_0_cards_3_maxLevel" queryTableFieldId="28"/>
    <tableColumn id="29" xr3:uid="{50DDDE1C-A49F-4F07-A1AD-D5B79882DFE8}" uniqueName="29" name="team_0_cards_4_name" queryTableFieldId="29" dataDxfId="41"/>
    <tableColumn id="30" xr3:uid="{C082BE29-ADE6-4CDA-B857-8BDD6B21D052}" uniqueName="30" name="team_0_cards_4_level" queryTableFieldId="30"/>
    <tableColumn id="31" xr3:uid="{7F421C25-C583-48A2-A0A8-DD4FFDB1F030}" uniqueName="31" name="team_0_cards_4_maxLevel" queryTableFieldId="31"/>
    <tableColumn id="32" xr3:uid="{6D5BB246-0D8D-4600-AF7E-5F0325EF0F43}" uniqueName="32" name="team_0_cards_5_name" queryTableFieldId="32" dataDxfId="40"/>
    <tableColumn id="33" xr3:uid="{D941B10C-1AC8-4F4B-92F6-B448C0280CA9}" uniqueName="33" name="team_0_cards_5_level" queryTableFieldId="33"/>
    <tableColumn id="34" xr3:uid="{0FBDD718-D50E-4F30-A28C-62C1D57DF726}" uniqueName="34" name="team_0_cards_5_maxLevel" queryTableFieldId="34"/>
    <tableColumn id="35" xr3:uid="{0F2E5290-DF94-4C9F-92BE-7E5F19B0FDD4}" uniqueName="35" name="team_0_cards_6_name" queryTableFieldId="35" dataDxfId="39"/>
    <tableColumn id="36" xr3:uid="{C59D73BA-8BBD-4354-AE06-DB5AE529E7B9}" uniqueName="36" name="team_0_cards_6_level" queryTableFieldId="36"/>
    <tableColumn id="37" xr3:uid="{F722CA3A-DA77-40B7-AE62-F490C258EC0B}" uniqueName="37" name="team_0_cards_6_maxLevel" queryTableFieldId="37"/>
    <tableColumn id="38" xr3:uid="{C3F98DC3-E12A-4C97-9C58-3D383ADB5771}" uniqueName="38" name="team_0_cards_7_name" queryTableFieldId="38" dataDxfId="38"/>
    <tableColumn id="39" xr3:uid="{ABC679E7-2814-45D5-84F4-6FF621E2F439}" uniqueName="39" name="team_0_cards_7_level" queryTableFieldId="39"/>
    <tableColumn id="40" xr3:uid="{3C692A5A-56F9-4F88-ACB5-7DCB9BE0AB83}" uniqueName="40" name="team_0_cards_7_maxLevel" queryTableFieldId="40"/>
    <tableColumn id="41" xr3:uid="{608D87FF-FD8A-4EDC-8003-4708C7FEB4D3}" uniqueName="41" name="team_1_tag" queryTableFieldId="41" dataDxfId="37"/>
    <tableColumn id="42" xr3:uid="{D32E671E-C925-4860-A8E9-7F0B62E7EAC3}" uniqueName="42" name="team_1_name" queryTableFieldId="42" dataDxfId="36"/>
    <tableColumn id="43" xr3:uid="{C730F2F5-9F2B-488A-9304-62AB1B5F1876}" uniqueName="43" name="team_1_startingTrophies" queryTableFieldId="43" dataDxfId="35"/>
    <tableColumn id="44" xr3:uid="{5480CCFF-9645-47AB-9794-1EB61ECA2456}" uniqueName="44" name="team_1_crowns" queryTableFieldId="44"/>
    <tableColumn id="45" xr3:uid="{12315B60-62EA-4755-92DA-24538CA2760C}" uniqueName="45" name="team_1_clan_tag" queryTableFieldId="45" dataDxfId="34"/>
    <tableColumn id="46" xr3:uid="{140C87AE-7F7C-4DA5-A8EF-304FB41C7D33}" uniqueName="46" name="team_1_clan_name" queryTableFieldId="46" dataDxfId="33"/>
    <tableColumn id="47" xr3:uid="{B9C3E0E9-4E93-4265-B986-1F696C8124BF}" uniqueName="47" name="team_1_clan_badgeId" queryTableFieldId="47"/>
    <tableColumn id="48" xr3:uid="{AB83CE7C-3BED-4E18-B703-815E4AB6756E}" uniqueName="48" name="team_1_cards_0_name" queryTableFieldId="48" dataDxfId="32"/>
    <tableColumn id="49" xr3:uid="{677EC26A-677F-4EF9-84C4-1EF42D461FC6}" uniqueName="49" name="team_1_cards_0_level" queryTableFieldId="49"/>
    <tableColumn id="50" xr3:uid="{D7DF6DCA-7BB2-479F-8E73-3734C441002D}" uniqueName="50" name="team_1_cards_0_maxLevel" queryTableFieldId="50"/>
    <tableColumn id="51" xr3:uid="{931F3748-A3BB-4C6F-A509-BB28497DDB1E}" uniqueName="51" name="team_1_cards_1_name" queryTableFieldId="51" dataDxfId="31"/>
    <tableColumn id="52" xr3:uid="{F566548D-2D98-4D8C-B3FE-EE52DF33F903}" uniqueName="52" name="team_1_cards_1_level" queryTableFieldId="52"/>
    <tableColumn id="53" xr3:uid="{7B21D0CD-8171-429A-9D24-C87C7C572AE4}" uniqueName="53" name="team_1_cards_1_maxLevel" queryTableFieldId="53"/>
    <tableColumn id="54" xr3:uid="{07FF208F-6ABA-4E5A-9C1A-9B0C07E1642F}" uniqueName="54" name="team_1_cards_2_name" queryTableFieldId="54" dataDxfId="30"/>
    <tableColumn id="55" xr3:uid="{350296B0-BE44-4CF7-87E9-673E6FC8CF95}" uniqueName="55" name="team_1_cards_2_level" queryTableFieldId="55"/>
    <tableColumn id="56" xr3:uid="{154EA5AC-0A73-4BE4-B9F6-D26F1AAD9ACA}" uniqueName="56" name="team_1_cards_2_maxLevel" queryTableFieldId="56"/>
    <tableColumn id="57" xr3:uid="{BAADD0AC-A8A7-4E10-96CD-F2AB245CF360}" uniqueName="57" name="team_1_cards_3_name" queryTableFieldId="57" dataDxfId="29"/>
    <tableColumn id="58" xr3:uid="{F7CEBCA1-A31F-4592-A52F-D629316031F2}" uniqueName="58" name="team_1_cards_3_level" queryTableFieldId="58"/>
    <tableColumn id="59" xr3:uid="{525786AE-F270-4651-85AE-580A15D53355}" uniqueName="59" name="team_1_cards_3_maxLevel" queryTableFieldId="59"/>
    <tableColumn id="60" xr3:uid="{D3B9B791-6F35-434C-BEF3-43E55A85F746}" uniqueName="60" name="team_1_cards_4_name" queryTableFieldId="60" dataDxfId="28"/>
    <tableColumn id="61" xr3:uid="{F3AF108C-8B4F-45BB-917F-6EF8335C22FB}" uniqueName="61" name="team_1_cards_4_level" queryTableFieldId="61"/>
    <tableColumn id="62" xr3:uid="{575482C7-A364-4F79-AF7E-7831B7FC02C7}" uniqueName="62" name="team_1_cards_4_maxLevel" queryTableFieldId="62"/>
    <tableColumn id="63" xr3:uid="{9D1D3785-9582-4129-98CB-9D02A7238FDD}" uniqueName="63" name="team_1_cards_5_name" queryTableFieldId="63" dataDxfId="27"/>
    <tableColumn id="64" xr3:uid="{4C65866F-4C56-4E93-B291-6A2DA60CBDE1}" uniqueName="64" name="team_1_cards_5_level" queryTableFieldId="64"/>
    <tableColumn id="65" xr3:uid="{5B4A8933-9487-4BCE-8EA6-82FE66EEE33F}" uniqueName="65" name="team_1_cards_5_maxLevel" queryTableFieldId="65"/>
    <tableColumn id="66" xr3:uid="{9C540CA7-311A-42AF-98E7-3BA78D8B01B6}" uniqueName="66" name="team_1_cards_6_name" queryTableFieldId="66" dataDxfId="26"/>
    <tableColumn id="67" xr3:uid="{267F46C6-B1B3-451F-BAF0-EB5A599B2490}" uniqueName="67" name="team_1_cards_6_level" queryTableFieldId="67"/>
    <tableColumn id="68" xr3:uid="{807DFAEB-6ECB-4AC0-B039-0E929C470118}" uniqueName="68" name="team_1_cards_6_maxLevel" queryTableFieldId="68"/>
    <tableColumn id="69" xr3:uid="{CEE384C0-3FED-4BF1-8089-DCD25A31B0F6}" uniqueName="69" name="team_1_cards_7_name" queryTableFieldId="69" dataDxfId="25"/>
    <tableColumn id="70" xr3:uid="{DA259CBA-81CC-49A6-80E6-6B2BA633730D}" uniqueName="70" name="team_1_cards_7_level" queryTableFieldId="70"/>
    <tableColumn id="71" xr3:uid="{E826E58A-8878-42D0-A09E-176ADE54E01C}" uniqueName="71" name="team_1_cards_7_maxLevel" queryTableFieldId="71"/>
    <tableColumn id="72" xr3:uid="{810C592F-1A3C-4EF0-8CB4-92D7A2D0716D}" uniqueName="72" name="opponent_0_tag" queryTableFieldId="72" dataDxfId="24"/>
    <tableColumn id="73" xr3:uid="{64B57EA3-4869-4ABE-A6B1-9703156971B5}" uniqueName="73" name="opponent_0_name" queryTableFieldId="73" dataDxfId="23"/>
    <tableColumn id="74" xr3:uid="{FA0B5080-E3AB-4689-BE3C-16FE116A4BD2}" uniqueName="74" name="opponent_0_startingTrophies" queryTableFieldId="74"/>
    <tableColumn id="75" xr3:uid="{D3D8FED8-5551-4C46-AEA1-E4866FBFA596}" uniqueName="75" name="opponent_0_crowns" queryTableFieldId="75"/>
    <tableColumn id="76" xr3:uid="{5FA82CC4-BA04-45E9-8C05-F5A0A3F83089}" uniqueName="76" name="opponent_0_clan_tag" queryTableFieldId="76" dataDxfId="22"/>
    <tableColumn id="77" xr3:uid="{6CB06579-C983-4204-B160-27437B8E6782}" uniqueName="77" name="opponent_0_clan_name" queryTableFieldId="77" dataDxfId="21"/>
    <tableColumn id="78" xr3:uid="{F8B0643A-4DB0-42C1-B4D5-C3F2D597A9AE}" uniqueName="78" name="opponent_0_clan_badgeId" queryTableFieldId="78"/>
    <tableColumn id="79" xr3:uid="{37F76DE4-3820-4A23-A90B-7FF8C43B0375}" uniqueName="79" name="opponent_0_cards_0_name" queryTableFieldId="79" dataDxfId="20"/>
    <tableColumn id="80" xr3:uid="{0E59EE1F-CB3A-440A-A8EF-221CC99648FB}" uniqueName="80" name="opponent_0_cards_0_level" queryTableFieldId="80"/>
    <tableColumn id="81" xr3:uid="{777FCF84-1DD1-4710-B48E-B6D7D306CC12}" uniqueName="81" name="opponent_0_cards_0_maxLevel" queryTableFieldId="81"/>
    <tableColumn id="82" xr3:uid="{83FEC1E3-2735-4C32-997A-B84C550B30D4}" uniqueName="82" name="opponent_0_cards_1_name" queryTableFieldId="82" dataDxfId="19"/>
    <tableColumn id="83" xr3:uid="{DBFE0C96-088A-4FFE-A9FE-C5B295AEECBD}" uniqueName="83" name="opponent_0_cards_1_level" queryTableFieldId="83"/>
    <tableColumn id="84" xr3:uid="{77141632-89A4-4C50-94B0-B569E4250EE4}" uniqueName="84" name="opponent_0_cards_1_maxLevel" queryTableFieldId="84"/>
    <tableColumn id="85" xr3:uid="{AF11DB2E-07BB-4E1C-B2D5-847255D5DF8D}" uniqueName="85" name="opponent_0_cards_2_name" queryTableFieldId="85" dataDxfId="18"/>
    <tableColumn id="86" xr3:uid="{B484963D-540E-4B26-9295-301F4A3AF64F}" uniqueName="86" name="opponent_0_cards_2_level" queryTableFieldId="86"/>
    <tableColumn id="87" xr3:uid="{05DC723E-86FC-440E-B713-626D692DF06C}" uniqueName="87" name="opponent_0_cards_2_maxLevel" queryTableFieldId="87"/>
    <tableColumn id="88" xr3:uid="{8F2DF5B2-30AA-465C-816A-D8C799DACF4E}" uniqueName="88" name="opponent_0_cards_3_name" queryTableFieldId="88" dataDxfId="17"/>
    <tableColumn id="89" xr3:uid="{FEEC456C-B37B-4ACB-A792-BC8A354641DE}" uniqueName="89" name="opponent_0_cards_3_level" queryTableFieldId="89"/>
    <tableColumn id="90" xr3:uid="{AA1BF4F4-8D74-4836-83E1-2D73DC412E56}" uniqueName="90" name="opponent_0_cards_3_maxLevel" queryTableFieldId="90"/>
    <tableColumn id="91" xr3:uid="{27F33038-DA0A-4A64-95CE-7846AB78D60B}" uniqueName="91" name="opponent_0_cards_4_name" queryTableFieldId="91" dataDxfId="16"/>
    <tableColumn id="92" xr3:uid="{A56B1086-7FEF-40DD-BA9B-27C19593AB84}" uniqueName="92" name="opponent_0_cards_4_level" queryTableFieldId="92"/>
    <tableColumn id="93" xr3:uid="{C1C8B5EA-3FA6-403A-93FE-AD9AEAEC0507}" uniqueName="93" name="opponent_0_cards_4_maxLevel" queryTableFieldId="93"/>
    <tableColumn id="94" xr3:uid="{FA3383CF-3AAD-48F6-A586-BF4AD7553A48}" uniqueName="94" name="opponent_0_cards_5_name" queryTableFieldId="94" dataDxfId="15"/>
    <tableColumn id="95" xr3:uid="{CE9558ED-6C1D-4389-8083-395F9DA96F00}" uniqueName="95" name="opponent_0_cards_5_level" queryTableFieldId="95"/>
    <tableColumn id="96" xr3:uid="{9F5B3932-C6F2-4A6D-9247-BC8C107D3E9C}" uniqueName="96" name="opponent_0_cards_5_maxLevel" queryTableFieldId="96"/>
    <tableColumn id="97" xr3:uid="{5921B782-289B-496F-8D24-1E754CFCC3DB}" uniqueName="97" name="opponent_0_cards_6_name" queryTableFieldId="97" dataDxfId="14"/>
    <tableColumn id="98" xr3:uid="{C4082EEA-5351-4C6D-8399-9A70D5C65D77}" uniqueName="98" name="opponent_0_cards_6_level" queryTableFieldId="98"/>
    <tableColumn id="99" xr3:uid="{E4FFB1D1-6672-4A5F-B99D-09C374BC99B3}" uniqueName="99" name="opponent_0_cards_6_maxLevel" queryTableFieldId="99"/>
    <tableColumn id="100" xr3:uid="{6CFC560E-6A85-4D05-A234-5B10C57728DE}" uniqueName="100" name="opponent_0_cards_7_name" queryTableFieldId="100" dataDxfId="13"/>
    <tableColumn id="101" xr3:uid="{61AB3E68-0B01-4544-BCD1-7B97E2D71E90}" uniqueName="101" name="opponent_0_cards_7_level" queryTableFieldId="101"/>
    <tableColumn id="102" xr3:uid="{CA92BDB4-BFD5-4ED5-BBE2-0E8ABCA1F5A9}" uniqueName="102" name="opponent_0_cards_7_maxLevel" queryTableFieldId="102"/>
    <tableColumn id="103" xr3:uid="{CC0B74FD-56D7-4127-B86F-ECE683F73F43}" uniqueName="103" name="opponent_1_tag" queryTableFieldId="103" dataDxfId="12"/>
    <tableColumn id="104" xr3:uid="{4E408766-26DB-4DAE-AAAB-7885115C34F0}" uniqueName="104" name="opponent_1_name" queryTableFieldId="104" dataDxfId="11"/>
    <tableColumn id="105" xr3:uid="{9EBD0825-EB89-4A9B-B5EE-7251E88DEBC1}" uniqueName="105" name="opponent_1_startingTrophies" queryTableFieldId="105" dataDxfId="10"/>
    <tableColumn id="106" xr3:uid="{E289FAB7-8569-4477-A784-B73A4497B5E0}" uniqueName="106" name="opponent_1_crowns" queryTableFieldId="106"/>
    <tableColumn id="107" xr3:uid="{5D3CBCF8-8BB6-4C32-9153-38CF7CD5E4AB}" uniqueName="107" name="opponent_1_clan_tag" queryTableFieldId="107" dataDxfId="9"/>
    <tableColumn id="108" xr3:uid="{9973C13B-523B-4C82-AC20-292BA47975E7}" uniqueName="108" name="opponent_1_clan_name" queryTableFieldId="108" dataDxfId="8"/>
    <tableColumn id="109" xr3:uid="{B0A820BB-A788-47E2-A67A-C2427F258C94}" uniqueName="109" name="opponent_1_clan_badgeId" queryTableFieldId="109"/>
    <tableColumn id="110" xr3:uid="{E17C5870-6E32-4361-AA0A-D0D508DA2CF4}" uniqueName="110" name="opponent_1_cards_0_name" queryTableFieldId="110" dataDxfId="7"/>
    <tableColumn id="111" xr3:uid="{CBA88870-DFE6-435B-8DD5-5D1AA85E7467}" uniqueName="111" name="opponent_1_cards_0_level" queryTableFieldId="111"/>
    <tableColumn id="112" xr3:uid="{A410A7BA-7197-48DF-8B67-677F54107C5C}" uniqueName="112" name="opponent_1_cards_0_maxLevel" queryTableFieldId="112"/>
    <tableColumn id="113" xr3:uid="{740DE218-144E-445E-97A6-2E25880C0AC8}" uniqueName="113" name="opponent_1_cards_1_name" queryTableFieldId="113" dataDxfId="6"/>
    <tableColumn id="114" xr3:uid="{1326DCED-418F-42AF-B901-3D84FDAFA53C}" uniqueName="114" name="opponent_1_cards_1_level" queryTableFieldId="114"/>
    <tableColumn id="115" xr3:uid="{F0E989D6-E6CF-4DCD-AF5D-68C84A615F47}" uniqueName="115" name="opponent_1_cards_1_maxLevel" queryTableFieldId="115"/>
    <tableColumn id="116" xr3:uid="{626E13DC-F07B-47FC-890D-15988E302D6B}" uniqueName="116" name="opponent_1_cards_2_name" queryTableFieldId="116" dataDxfId="5"/>
    <tableColumn id="117" xr3:uid="{C042EB70-20F2-4AC8-9949-A4EBDD69EFAB}" uniqueName="117" name="opponent_1_cards_2_level" queryTableFieldId="117"/>
    <tableColumn id="118" xr3:uid="{79653E10-5420-4661-8DDA-86CD613A164A}" uniqueName="118" name="opponent_1_cards_2_maxLevel" queryTableFieldId="118"/>
    <tableColumn id="119" xr3:uid="{EB5E86C5-D6D5-4DCE-A555-6C3A5240DFCC}" uniqueName="119" name="opponent_1_cards_3_name" queryTableFieldId="119" dataDxfId="4"/>
    <tableColumn id="120" xr3:uid="{52DE114F-E289-4FA2-9D2C-8FD9A675A186}" uniqueName="120" name="opponent_1_cards_3_level" queryTableFieldId="120"/>
    <tableColumn id="121" xr3:uid="{0BABE0F8-8E8F-47A3-A97B-62B8C3B826AA}" uniqueName="121" name="opponent_1_cards_3_maxLevel" queryTableFieldId="121"/>
    <tableColumn id="122" xr3:uid="{184C371E-E280-472D-B217-B115FEEB0E85}" uniqueName="122" name="opponent_1_cards_4_name" queryTableFieldId="122" dataDxfId="3"/>
    <tableColumn id="123" xr3:uid="{6ED2A824-A0DA-445D-AD80-31614A38A84B}" uniqueName="123" name="opponent_1_cards_4_level" queryTableFieldId="123"/>
    <tableColumn id="124" xr3:uid="{8500D12A-2F91-4F03-B39C-A6FEC2558360}" uniqueName="124" name="opponent_1_cards_4_maxLevel" queryTableFieldId="124"/>
    <tableColumn id="125" xr3:uid="{4E65AA78-3E8C-47FA-87C9-B3D0B23B61ED}" uniqueName="125" name="opponent_1_cards_5_name" queryTableFieldId="125" dataDxfId="2"/>
    <tableColumn id="126" xr3:uid="{30A34BDB-6B55-4307-84E2-13452ED34C4F}" uniqueName="126" name="opponent_1_cards_5_level" queryTableFieldId="126"/>
    <tableColumn id="127" xr3:uid="{12C46083-B40C-4654-B2EE-CB5300956943}" uniqueName="127" name="opponent_1_cards_5_maxLevel" queryTableFieldId="127"/>
    <tableColumn id="128" xr3:uid="{4EF9D828-5D59-418B-9E17-83B4631CF5B8}" uniqueName="128" name="opponent_1_cards_6_name" queryTableFieldId="128" dataDxfId="1"/>
    <tableColumn id="129" xr3:uid="{66E80E48-F96B-409E-BAD5-21F86154BF49}" uniqueName="129" name="opponent_1_cards_6_level" queryTableFieldId="129"/>
    <tableColumn id="130" xr3:uid="{620E01A3-9FBA-4C58-A00F-88864A0CFF46}" uniqueName="130" name="opponent_1_cards_6_maxLevel" queryTableFieldId="130"/>
    <tableColumn id="131" xr3:uid="{24D0BAE8-332E-421D-BB13-4761B6F0B6ED}" uniqueName="131" name="opponent_1_cards_7_name" queryTableFieldId="131" dataDxfId="0"/>
    <tableColumn id="132" xr3:uid="{072DDE90-C3F3-4BAB-8363-B0FA7C8CC0AB}" uniqueName="132" name="opponent_1_cards_7_level" queryTableFieldId="132"/>
    <tableColumn id="133" xr3:uid="{3EE19BA4-A714-4FA1-A5ED-409F676A8881}" uniqueName="133" name="opponent_1_cards_7_maxLevel" queryTableFieldId="133"/>
    <tableColumn id="134" xr3:uid="{4F4980BB-0270-420C-AEF2-A941DE361F64}" uniqueName="134" name="result" queryTableFieldId="134" dataDxfId="56">
      <calculatedColumnFormula>IF(M2 &gt; BW2, "W", IF(M2 &lt; BW2, "L", IF(M2 = BW2, "T")))</calculatedColumnFormula>
    </tableColumn>
    <tableColumn id="135" xr3:uid="{C36D9E15-21A2-4FC5-A0A0-97C7533702A7}" uniqueName="135" name="margin result" queryTableFieldId="135" dataDxfId="55">
      <calculatedColumnFormula>M2-BW2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EFF29-44AC-4877-8649-BF85996EAA80}">
  <sheetPr codeName="Sheet1"/>
  <dimension ref="A1:H88"/>
  <sheetViews>
    <sheetView tabSelected="1" workbookViewId="0"/>
  </sheetViews>
  <sheetFormatPr defaultRowHeight="12" x14ac:dyDescent="0.2"/>
  <cols>
    <col min="1" max="1" width="17.83203125" bestFit="1" customWidth="1"/>
    <col min="2" max="2" width="7.5" bestFit="1" customWidth="1"/>
    <col min="3" max="3" width="8.33203125" bestFit="1" customWidth="1"/>
    <col min="4" max="4" width="10.1640625" bestFit="1" customWidth="1"/>
  </cols>
  <sheetData>
    <row r="1" spans="1:8" x14ac:dyDescent="0.2">
      <c r="A1" s="1" t="s">
        <v>242</v>
      </c>
      <c r="B1" s="2" t="s">
        <v>243</v>
      </c>
      <c r="C1" t="s">
        <v>244</v>
      </c>
      <c r="D1" t="s">
        <v>225</v>
      </c>
      <c r="E1" s="4" t="str">
        <f>COUNTIFS('C'!ED:ED, "W",'C'!A:A, D1)&amp;"-"&amp;COUNTIFS('C'!ED:ED, "L",'C'!A:A, D1)</f>
        <v>3-6</v>
      </c>
      <c r="F1" s="4"/>
      <c r="G1" s="4" t="s">
        <v>248</v>
      </c>
      <c r="H1" s="4"/>
    </row>
    <row r="2" spans="1:8" x14ac:dyDescent="0.2">
      <c r="A2" t="s">
        <v>165</v>
      </c>
      <c r="B2">
        <v>3</v>
      </c>
      <c r="C2" s="3">
        <v>9</v>
      </c>
    </row>
    <row r="3" spans="1:8" x14ac:dyDescent="0.2">
      <c r="A3" t="s">
        <v>154</v>
      </c>
      <c r="B3">
        <v>3</v>
      </c>
      <c r="C3" s="3">
        <v>4</v>
      </c>
    </row>
    <row r="4" spans="1:8" x14ac:dyDescent="0.2">
      <c r="A4" t="s">
        <v>175</v>
      </c>
      <c r="B4">
        <v>3</v>
      </c>
      <c r="C4" s="3">
        <v>1</v>
      </c>
    </row>
    <row r="5" spans="1:8" x14ac:dyDescent="0.2">
      <c r="A5" t="s">
        <v>151</v>
      </c>
      <c r="B5">
        <v>3</v>
      </c>
      <c r="C5" s="3">
        <v>1</v>
      </c>
    </row>
    <row r="6" spans="1:8" x14ac:dyDescent="0.2">
      <c r="A6" t="s">
        <v>172</v>
      </c>
      <c r="B6">
        <v>2</v>
      </c>
      <c r="C6" s="3">
        <v>9</v>
      </c>
    </row>
    <row r="7" spans="1:8" x14ac:dyDescent="0.2">
      <c r="A7" t="s">
        <v>144</v>
      </c>
      <c r="B7">
        <v>2</v>
      </c>
      <c r="C7" s="3">
        <v>9</v>
      </c>
    </row>
    <row r="8" spans="1:8" x14ac:dyDescent="0.2">
      <c r="A8" t="s">
        <v>146</v>
      </c>
      <c r="B8">
        <v>2</v>
      </c>
      <c r="C8" s="3">
        <v>9</v>
      </c>
    </row>
    <row r="9" spans="1:8" x14ac:dyDescent="0.2">
      <c r="A9" t="s">
        <v>157</v>
      </c>
      <c r="B9">
        <v>2</v>
      </c>
      <c r="C9" s="3">
        <v>7</v>
      </c>
    </row>
    <row r="10" spans="1:8" x14ac:dyDescent="0.2">
      <c r="A10" t="s">
        <v>177</v>
      </c>
      <c r="B10">
        <v>2</v>
      </c>
      <c r="C10" s="3">
        <v>7</v>
      </c>
    </row>
    <row r="11" spans="1:8" x14ac:dyDescent="0.2">
      <c r="A11" t="s">
        <v>148</v>
      </c>
      <c r="B11">
        <v>2</v>
      </c>
      <c r="C11" s="3">
        <v>7</v>
      </c>
    </row>
    <row r="12" spans="1:8" x14ac:dyDescent="0.2">
      <c r="A12" t="s">
        <v>178</v>
      </c>
      <c r="B12">
        <v>2</v>
      </c>
      <c r="C12" s="3">
        <v>4</v>
      </c>
    </row>
    <row r="13" spans="1:8" x14ac:dyDescent="0.2">
      <c r="A13" t="s">
        <v>173</v>
      </c>
      <c r="B13">
        <v>2</v>
      </c>
      <c r="C13" s="3">
        <v>4</v>
      </c>
    </row>
    <row r="14" spans="1:8" x14ac:dyDescent="0.2">
      <c r="A14" t="s">
        <v>153</v>
      </c>
      <c r="B14">
        <v>2</v>
      </c>
      <c r="C14" s="3">
        <v>1</v>
      </c>
    </row>
    <row r="15" spans="1:8" x14ac:dyDescent="0.2">
      <c r="A15" t="s">
        <v>168</v>
      </c>
      <c r="B15">
        <v>1</v>
      </c>
      <c r="C15" s="3">
        <v>9</v>
      </c>
    </row>
    <row r="16" spans="1:8" x14ac:dyDescent="0.2">
      <c r="A16" t="s">
        <v>202</v>
      </c>
      <c r="B16">
        <v>1</v>
      </c>
      <c r="C16" s="3">
        <v>9</v>
      </c>
    </row>
    <row r="17" spans="1:3" x14ac:dyDescent="0.2">
      <c r="A17" t="s">
        <v>191</v>
      </c>
      <c r="B17">
        <v>1</v>
      </c>
      <c r="C17" s="3">
        <v>9</v>
      </c>
    </row>
    <row r="18" spans="1:3" x14ac:dyDescent="0.2">
      <c r="A18" t="s">
        <v>209</v>
      </c>
      <c r="B18">
        <v>1</v>
      </c>
      <c r="C18" s="3">
        <v>9</v>
      </c>
    </row>
    <row r="19" spans="1:3" x14ac:dyDescent="0.2">
      <c r="A19" t="s">
        <v>142</v>
      </c>
      <c r="B19">
        <v>1</v>
      </c>
      <c r="C19" s="3">
        <v>9</v>
      </c>
    </row>
    <row r="20" spans="1:3" x14ac:dyDescent="0.2">
      <c r="A20" t="s">
        <v>223</v>
      </c>
      <c r="B20">
        <v>1</v>
      </c>
      <c r="C20" s="3">
        <v>7</v>
      </c>
    </row>
    <row r="21" spans="1:3" x14ac:dyDescent="0.2">
      <c r="A21" t="s">
        <v>213</v>
      </c>
      <c r="B21">
        <v>1</v>
      </c>
      <c r="C21" s="3">
        <v>7</v>
      </c>
    </row>
    <row r="22" spans="1:3" x14ac:dyDescent="0.2">
      <c r="A22" t="s">
        <v>139</v>
      </c>
      <c r="B22">
        <v>1</v>
      </c>
      <c r="C22" s="3">
        <v>7</v>
      </c>
    </row>
    <row r="23" spans="1:3" x14ac:dyDescent="0.2">
      <c r="A23" t="s">
        <v>214</v>
      </c>
      <c r="B23">
        <v>1</v>
      </c>
      <c r="C23" s="3">
        <v>7</v>
      </c>
    </row>
    <row r="24" spans="1:3" x14ac:dyDescent="0.2">
      <c r="A24" t="s">
        <v>149</v>
      </c>
      <c r="B24">
        <v>1</v>
      </c>
      <c r="C24" s="3">
        <v>7</v>
      </c>
    </row>
    <row r="25" spans="1:3" x14ac:dyDescent="0.2">
      <c r="A25" t="s">
        <v>189</v>
      </c>
      <c r="B25">
        <v>1</v>
      </c>
      <c r="C25" s="3">
        <v>7</v>
      </c>
    </row>
    <row r="26" spans="1:3" x14ac:dyDescent="0.2">
      <c r="A26" t="s">
        <v>162</v>
      </c>
      <c r="B26">
        <v>1</v>
      </c>
      <c r="C26" s="3">
        <v>7</v>
      </c>
    </row>
    <row r="27" spans="1:3" x14ac:dyDescent="0.2">
      <c r="A27" t="s">
        <v>204</v>
      </c>
      <c r="B27">
        <v>1</v>
      </c>
      <c r="C27" s="3">
        <v>4</v>
      </c>
    </row>
    <row r="28" spans="1:3" x14ac:dyDescent="0.2">
      <c r="A28" t="s">
        <v>198</v>
      </c>
      <c r="B28">
        <v>1</v>
      </c>
      <c r="C28" s="3">
        <v>4</v>
      </c>
    </row>
    <row r="29" spans="1:3" x14ac:dyDescent="0.2">
      <c r="A29" t="s">
        <v>218</v>
      </c>
      <c r="B29">
        <v>1</v>
      </c>
      <c r="C29" s="3">
        <v>4</v>
      </c>
    </row>
    <row r="30" spans="1:3" x14ac:dyDescent="0.2">
      <c r="A30" t="s">
        <v>183</v>
      </c>
      <c r="B30">
        <v>1</v>
      </c>
      <c r="C30" s="3">
        <v>1</v>
      </c>
    </row>
    <row r="31" spans="1:3" x14ac:dyDescent="0.2">
      <c r="A31" t="s">
        <v>166</v>
      </c>
      <c r="B31">
        <v>1</v>
      </c>
      <c r="C31" s="3">
        <v>1</v>
      </c>
    </row>
    <row r="32" spans="1:3" x14ac:dyDescent="0.2">
      <c r="A32" t="s">
        <v>219</v>
      </c>
      <c r="B32">
        <v>1</v>
      </c>
      <c r="C32" s="3">
        <v>1</v>
      </c>
    </row>
    <row r="33" spans="1:3" x14ac:dyDescent="0.2">
      <c r="A33" t="s">
        <v>143</v>
      </c>
      <c r="B33">
        <v>0</v>
      </c>
      <c r="C33" s="3" t="s">
        <v>133</v>
      </c>
    </row>
    <row r="34" spans="1:3" x14ac:dyDescent="0.2">
      <c r="A34" t="s">
        <v>164</v>
      </c>
      <c r="B34">
        <v>0</v>
      </c>
      <c r="C34" s="3" t="s">
        <v>133</v>
      </c>
    </row>
    <row r="35" spans="1:3" x14ac:dyDescent="0.2">
      <c r="A35" t="s">
        <v>179</v>
      </c>
      <c r="B35">
        <v>0</v>
      </c>
      <c r="C35" s="3" t="s">
        <v>133</v>
      </c>
    </row>
    <row r="36" spans="1:3" x14ac:dyDescent="0.2">
      <c r="A36" t="s">
        <v>182</v>
      </c>
      <c r="B36">
        <v>0</v>
      </c>
      <c r="C36" s="3" t="s">
        <v>133</v>
      </c>
    </row>
    <row r="37" spans="1:3" x14ac:dyDescent="0.2">
      <c r="A37" t="s">
        <v>145</v>
      </c>
      <c r="B37">
        <v>0</v>
      </c>
      <c r="C37" s="3" t="s">
        <v>133</v>
      </c>
    </row>
    <row r="38" spans="1:3" x14ac:dyDescent="0.2">
      <c r="A38" t="s">
        <v>239</v>
      </c>
      <c r="B38">
        <v>0</v>
      </c>
      <c r="C38" s="3" t="s">
        <v>133</v>
      </c>
    </row>
    <row r="39" spans="1:3" x14ac:dyDescent="0.2">
      <c r="A39" t="s">
        <v>152</v>
      </c>
      <c r="B39">
        <v>0</v>
      </c>
      <c r="C39" s="3" t="s">
        <v>133</v>
      </c>
    </row>
    <row r="40" spans="1:3" x14ac:dyDescent="0.2">
      <c r="A40" t="s">
        <v>150</v>
      </c>
      <c r="B40">
        <v>0</v>
      </c>
      <c r="C40" s="3" t="s">
        <v>133</v>
      </c>
    </row>
    <row r="41" spans="1:3" x14ac:dyDescent="0.2">
      <c r="A41" t="s">
        <v>247</v>
      </c>
      <c r="B41">
        <v>0</v>
      </c>
      <c r="C41" s="3" t="s">
        <v>133</v>
      </c>
    </row>
    <row r="42" spans="1:3" x14ac:dyDescent="0.2">
      <c r="A42" t="s">
        <v>167</v>
      </c>
      <c r="B42">
        <v>0</v>
      </c>
      <c r="C42" s="3" t="s">
        <v>133</v>
      </c>
    </row>
    <row r="43" spans="1:3" x14ac:dyDescent="0.2">
      <c r="A43" t="s">
        <v>221</v>
      </c>
      <c r="B43">
        <v>0</v>
      </c>
      <c r="C43" s="3" t="s">
        <v>133</v>
      </c>
    </row>
    <row r="44" spans="1:3" x14ac:dyDescent="0.2">
      <c r="A44" t="s">
        <v>246</v>
      </c>
      <c r="B44">
        <v>0</v>
      </c>
      <c r="C44" s="3" t="s">
        <v>133</v>
      </c>
    </row>
    <row r="45" spans="1:3" x14ac:dyDescent="0.2">
      <c r="A45" t="s">
        <v>194</v>
      </c>
      <c r="B45">
        <v>0</v>
      </c>
      <c r="C45" s="3" t="s">
        <v>133</v>
      </c>
    </row>
    <row r="46" spans="1:3" x14ac:dyDescent="0.2">
      <c r="A46" t="s">
        <v>176</v>
      </c>
      <c r="B46">
        <v>0</v>
      </c>
      <c r="C46" s="3" t="s">
        <v>133</v>
      </c>
    </row>
    <row r="47" spans="1:3" x14ac:dyDescent="0.2">
      <c r="A47" t="s">
        <v>192</v>
      </c>
      <c r="B47">
        <v>0</v>
      </c>
      <c r="C47" s="3" t="s">
        <v>133</v>
      </c>
    </row>
    <row r="48" spans="1:3" x14ac:dyDescent="0.2">
      <c r="A48" t="s">
        <v>187</v>
      </c>
      <c r="B48">
        <v>0</v>
      </c>
      <c r="C48" s="3" t="s">
        <v>133</v>
      </c>
    </row>
    <row r="49" spans="1:3" x14ac:dyDescent="0.2">
      <c r="A49" t="s">
        <v>193</v>
      </c>
      <c r="B49">
        <v>0</v>
      </c>
      <c r="C49" s="3" t="s">
        <v>133</v>
      </c>
    </row>
    <row r="50" spans="1:3" x14ac:dyDescent="0.2">
      <c r="A50" t="s">
        <v>205</v>
      </c>
      <c r="B50">
        <v>0</v>
      </c>
      <c r="C50" s="3" t="s">
        <v>133</v>
      </c>
    </row>
    <row r="51" spans="1:3" x14ac:dyDescent="0.2">
      <c r="A51" t="s">
        <v>224</v>
      </c>
      <c r="B51">
        <v>0</v>
      </c>
      <c r="C51" s="3" t="s">
        <v>133</v>
      </c>
    </row>
    <row r="52" spans="1:3" x14ac:dyDescent="0.2">
      <c r="A52" t="s">
        <v>156</v>
      </c>
      <c r="B52">
        <v>0</v>
      </c>
      <c r="C52" s="3" t="s">
        <v>133</v>
      </c>
    </row>
    <row r="53" spans="1:3" x14ac:dyDescent="0.2">
      <c r="A53" t="s">
        <v>195</v>
      </c>
      <c r="B53">
        <v>0</v>
      </c>
      <c r="C53" s="3" t="s">
        <v>133</v>
      </c>
    </row>
    <row r="54" spans="1:3" x14ac:dyDescent="0.2">
      <c r="A54" t="s">
        <v>238</v>
      </c>
      <c r="B54">
        <v>0</v>
      </c>
      <c r="C54" s="3" t="s">
        <v>133</v>
      </c>
    </row>
    <row r="55" spans="1:3" x14ac:dyDescent="0.2">
      <c r="A55" t="s">
        <v>203</v>
      </c>
      <c r="B55">
        <v>0</v>
      </c>
      <c r="C55" s="3" t="s">
        <v>133</v>
      </c>
    </row>
    <row r="56" spans="1:3" x14ac:dyDescent="0.2">
      <c r="A56" t="s">
        <v>210</v>
      </c>
      <c r="B56">
        <v>0</v>
      </c>
      <c r="C56" s="3" t="s">
        <v>133</v>
      </c>
    </row>
    <row r="57" spans="1:3" x14ac:dyDescent="0.2">
      <c r="A57" t="s">
        <v>200</v>
      </c>
      <c r="B57">
        <v>0</v>
      </c>
      <c r="C57" s="3" t="s">
        <v>133</v>
      </c>
    </row>
    <row r="58" spans="1:3" x14ac:dyDescent="0.2">
      <c r="A58" t="s">
        <v>212</v>
      </c>
      <c r="B58">
        <v>0</v>
      </c>
      <c r="C58" s="3" t="s">
        <v>133</v>
      </c>
    </row>
    <row r="59" spans="1:3" x14ac:dyDescent="0.2">
      <c r="A59" t="s">
        <v>217</v>
      </c>
      <c r="B59">
        <v>0</v>
      </c>
      <c r="C59" s="3" t="s">
        <v>133</v>
      </c>
    </row>
    <row r="60" spans="1:3" x14ac:dyDescent="0.2">
      <c r="A60" t="s">
        <v>170</v>
      </c>
      <c r="B60">
        <v>0</v>
      </c>
      <c r="C60" s="3" t="s">
        <v>133</v>
      </c>
    </row>
    <row r="61" spans="1:3" x14ac:dyDescent="0.2">
      <c r="A61" t="s">
        <v>199</v>
      </c>
      <c r="B61">
        <v>0</v>
      </c>
      <c r="C61" s="3" t="s">
        <v>133</v>
      </c>
    </row>
    <row r="62" spans="1:3" x14ac:dyDescent="0.2">
      <c r="A62" t="s">
        <v>201</v>
      </c>
      <c r="B62">
        <v>0</v>
      </c>
      <c r="C62" s="3" t="s">
        <v>133</v>
      </c>
    </row>
    <row r="63" spans="1:3" x14ac:dyDescent="0.2">
      <c r="A63" t="s">
        <v>169</v>
      </c>
      <c r="B63">
        <v>0</v>
      </c>
      <c r="C63" s="3" t="s">
        <v>133</v>
      </c>
    </row>
    <row r="64" spans="1:3" x14ac:dyDescent="0.2">
      <c r="A64" t="s">
        <v>220</v>
      </c>
      <c r="B64">
        <v>0</v>
      </c>
      <c r="C64" s="3" t="s">
        <v>133</v>
      </c>
    </row>
    <row r="65" spans="1:3" x14ac:dyDescent="0.2">
      <c r="A65" t="s">
        <v>160</v>
      </c>
      <c r="B65">
        <v>0</v>
      </c>
      <c r="C65" s="3" t="s">
        <v>133</v>
      </c>
    </row>
    <row r="66" spans="1:3" x14ac:dyDescent="0.2">
      <c r="A66" t="s">
        <v>190</v>
      </c>
      <c r="B66">
        <v>0</v>
      </c>
      <c r="C66" s="3" t="s">
        <v>133</v>
      </c>
    </row>
    <row r="67" spans="1:3" x14ac:dyDescent="0.2">
      <c r="A67" t="s">
        <v>181</v>
      </c>
      <c r="B67">
        <v>0</v>
      </c>
      <c r="C67" s="3" t="s">
        <v>133</v>
      </c>
    </row>
    <row r="68" spans="1:3" x14ac:dyDescent="0.2">
      <c r="A68" t="s">
        <v>158</v>
      </c>
      <c r="B68">
        <v>0</v>
      </c>
      <c r="C68" s="3" t="s">
        <v>133</v>
      </c>
    </row>
    <row r="69" spans="1:3" x14ac:dyDescent="0.2">
      <c r="A69" t="s">
        <v>197</v>
      </c>
      <c r="B69">
        <v>0</v>
      </c>
      <c r="C69" s="3" t="s">
        <v>133</v>
      </c>
    </row>
    <row r="70" spans="1:3" x14ac:dyDescent="0.2">
      <c r="A70" t="s">
        <v>180</v>
      </c>
      <c r="B70">
        <v>0</v>
      </c>
      <c r="C70" s="3" t="s">
        <v>133</v>
      </c>
    </row>
    <row r="71" spans="1:3" x14ac:dyDescent="0.2">
      <c r="A71" t="s">
        <v>206</v>
      </c>
      <c r="B71">
        <v>0</v>
      </c>
      <c r="C71" s="3" t="s">
        <v>133</v>
      </c>
    </row>
    <row r="72" spans="1:3" x14ac:dyDescent="0.2">
      <c r="A72" t="s">
        <v>222</v>
      </c>
      <c r="B72">
        <v>0</v>
      </c>
      <c r="C72" s="3" t="s">
        <v>133</v>
      </c>
    </row>
    <row r="73" spans="1:3" x14ac:dyDescent="0.2">
      <c r="A73" t="s">
        <v>208</v>
      </c>
      <c r="B73">
        <v>0</v>
      </c>
      <c r="C73" s="3" t="s">
        <v>133</v>
      </c>
    </row>
    <row r="74" spans="1:3" x14ac:dyDescent="0.2">
      <c r="A74" t="s">
        <v>196</v>
      </c>
      <c r="B74">
        <v>0</v>
      </c>
      <c r="C74" s="3" t="s">
        <v>133</v>
      </c>
    </row>
    <row r="75" spans="1:3" x14ac:dyDescent="0.2">
      <c r="A75" t="s">
        <v>186</v>
      </c>
      <c r="B75">
        <v>0</v>
      </c>
      <c r="C75" s="3" t="s">
        <v>133</v>
      </c>
    </row>
    <row r="76" spans="1:3" x14ac:dyDescent="0.2">
      <c r="A76" t="s">
        <v>174</v>
      </c>
      <c r="B76">
        <v>0</v>
      </c>
      <c r="C76" s="3" t="s">
        <v>133</v>
      </c>
    </row>
    <row r="77" spans="1:3" x14ac:dyDescent="0.2">
      <c r="A77" t="s">
        <v>245</v>
      </c>
      <c r="B77">
        <v>0</v>
      </c>
      <c r="C77" s="3" t="s">
        <v>133</v>
      </c>
    </row>
    <row r="78" spans="1:3" x14ac:dyDescent="0.2">
      <c r="A78" t="s">
        <v>188</v>
      </c>
      <c r="B78">
        <v>0</v>
      </c>
      <c r="C78" s="3" t="s">
        <v>133</v>
      </c>
    </row>
    <row r="79" spans="1:3" x14ac:dyDescent="0.2">
      <c r="A79" t="s">
        <v>211</v>
      </c>
      <c r="B79">
        <v>0</v>
      </c>
      <c r="C79" s="3" t="s">
        <v>133</v>
      </c>
    </row>
    <row r="80" spans="1:3" x14ac:dyDescent="0.2">
      <c r="A80" t="s">
        <v>140</v>
      </c>
      <c r="B80">
        <v>0</v>
      </c>
      <c r="C80" s="3" t="s">
        <v>133</v>
      </c>
    </row>
    <row r="81" spans="1:3" x14ac:dyDescent="0.2">
      <c r="A81" t="s">
        <v>184</v>
      </c>
      <c r="B81">
        <v>0</v>
      </c>
      <c r="C81" s="3" t="s">
        <v>133</v>
      </c>
    </row>
    <row r="82" spans="1:3" x14ac:dyDescent="0.2">
      <c r="A82" t="s">
        <v>215</v>
      </c>
      <c r="B82">
        <v>0</v>
      </c>
      <c r="C82" s="3" t="s">
        <v>133</v>
      </c>
    </row>
    <row r="83" spans="1:3" x14ac:dyDescent="0.2">
      <c r="A83" t="s">
        <v>163</v>
      </c>
      <c r="B83">
        <v>0</v>
      </c>
      <c r="C83" s="3" t="s">
        <v>133</v>
      </c>
    </row>
    <row r="84" spans="1:3" x14ac:dyDescent="0.2">
      <c r="A84" t="s">
        <v>159</v>
      </c>
      <c r="B84">
        <v>0</v>
      </c>
      <c r="C84" s="3" t="s">
        <v>133</v>
      </c>
    </row>
    <row r="85" spans="1:3" x14ac:dyDescent="0.2">
      <c r="A85" t="s">
        <v>147</v>
      </c>
      <c r="B85">
        <v>0</v>
      </c>
      <c r="C85" s="3" t="s">
        <v>133</v>
      </c>
    </row>
    <row r="86" spans="1:3" x14ac:dyDescent="0.2">
      <c r="A86" t="s">
        <v>141</v>
      </c>
      <c r="B86">
        <v>0</v>
      </c>
      <c r="C86" s="3" t="s">
        <v>133</v>
      </c>
    </row>
    <row r="87" spans="1:3" x14ac:dyDescent="0.2">
      <c r="A87" t="s">
        <v>216</v>
      </c>
      <c r="B87">
        <v>0</v>
      </c>
      <c r="C87" s="3" t="s">
        <v>133</v>
      </c>
    </row>
    <row r="88" spans="1:3" x14ac:dyDescent="0.2">
      <c r="C88" s="3"/>
    </row>
  </sheetData>
  <sortState ref="A2:D87">
    <sortCondition descending="1" ref="B2:B87"/>
    <sortCondition descending="1" ref="C2:C87"/>
    <sortCondition ref="A2:A87"/>
  </sortState>
  <mergeCells count="2">
    <mergeCell ref="E1:F1"/>
    <mergeCell ref="G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raseAll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peeveePee">
                <anchor moveWithCells="1" sizeWithCells="1">
                  <from>
                    <xdr:col>4</xdr:col>
                    <xdr:colOff>533400</xdr:colOff>
                    <xdr:row>5</xdr:row>
                    <xdr:rowOff>9525</xdr:rowOff>
                  </from>
                  <to>
                    <xdr:col>7</xdr:col>
                    <xdr:colOff>9525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tournamenT">
                <anchor moveWithCells="1" sizeWithCells="1">
                  <from>
                    <xdr:col>5</xdr:col>
                    <xdr:colOff>0</xdr:colOff>
                    <xdr:row>8</xdr:row>
                    <xdr:rowOff>142875</xdr:rowOff>
                  </from>
                  <to>
                    <xdr:col>6</xdr:col>
                    <xdr:colOff>523875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challengeGame">
                <anchor moveWithCells="1" siz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firstOne">
                <anchor moveWithCells="1" sizeWithCells="1">
                  <from>
                    <xdr:col>5</xdr:col>
                    <xdr:colOff>9525</xdr:colOff>
                    <xdr:row>21</xdr:row>
                    <xdr:rowOff>0</xdr:rowOff>
                  </from>
                  <to>
                    <xdr:col>7</xdr:col>
                    <xdr:colOff>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Wins">
                <anchor moveWithCells="1" sizeWithCells="1">
                  <from>
                    <xdr:col>4</xdr:col>
                    <xdr:colOff>523875</xdr:colOff>
                    <xdr:row>17</xdr:row>
                    <xdr:rowOff>0</xdr:rowOff>
                  </from>
                  <to>
                    <xdr:col>5</xdr:col>
                    <xdr:colOff>504825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nlyLosses">
                <anchor moveWithCells="1" sizeWithCells="1">
                  <from>
                    <xdr:col>6</xdr:col>
                    <xdr:colOff>28575</xdr:colOff>
                    <xdr:row>16</xdr:row>
                    <xdr:rowOff>142875</xdr:rowOff>
                  </from>
                  <to>
                    <xdr:col>7</xdr:col>
                    <xdr:colOff>9525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splitOne">
                <anchor moveWithCells="1" sizeWithCells="1">
                  <from>
                    <xdr:col>5</xdr:col>
                    <xdr:colOff>9525</xdr:colOff>
                    <xdr:row>25</xdr:row>
                    <xdr:rowOff>9525</xdr:rowOff>
                  </from>
                  <to>
                    <xdr:col>7</xdr:col>
                    <xdr:colOff>19050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C0356-54E2-4681-B387-E08AD2BBF585}">
  <dimension ref="A1:EE26"/>
  <sheetViews>
    <sheetView workbookViewId="0"/>
  </sheetViews>
  <sheetFormatPr defaultRowHeight="12" x14ac:dyDescent="0.2"/>
  <cols>
    <col min="1" max="1" width="21.6640625" bestFit="1" customWidth="1"/>
    <col min="2" max="2" width="14" bestFit="1" customWidth="1"/>
    <col min="3" max="3" width="14.5" bestFit="1" customWidth="1"/>
    <col min="4" max="4" width="11.83203125" bestFit="1" customWidth="1"/>
    <col min="5" max="5" width="15.1640625" bestFit="1" customWidth="1"/>
    <col min="6" max="6" width="16.83203125" bestFit="1" customWidth="1"/>
    <col min="7" max="7" width="22.33203125" bestFit="1" customWidth="1"/>
    <col min="8" max="8" width="28" bestFit="1" customWidth="1"/>
    <col min="9" max="9" width="16.5" bestFit="1" customWidth="1"/>
    <col min="10" max="10" width="14.1640625" bestFit="1" customWidth="1"/>
    <col min="11" max="11" width="16.6640625" bestFit="1" customWidth="1"/>
    <col min="12" max="12" width="26.83203125" bestFit="1" customWidth="1"/>
    <col min="13" max="13" width="17.83203125" bestFit="1" customWidth="1"/>
    <col min="14" max="14" width="19.1640625" bestFit="1" customWidth="1"/>
    <col min="15" max="15" width="22.6640625" bestFit="1" customWidth="1"/>
    <col min="16" max="16" width="24.1640625" bestFit="1" customWidth="1"/>
    <col min="17" max="17" width="24.83203125" bestFit="1" customWidth="1"/>
    <col min="18" max="18" width="24.1640625" bestFit="1" customWidth="1"/>
    <col min="19" max="19" width="28" bestFit="1" customWidth="1"/>
    <col min="20" max="20" width="24.83203125" bestFit="1" customWidth="1"/>
    <col min="21" max="21" width="24.1640625" bestFit="1" customWidth="1"/>
    <col min="22" max="22" width="28" bestFit="1" customWidth="1"/>
    <col min="23" max="23" width="24.83203125" bestFit="1" customWidth="1"/>
    <col min="24" max="24" width="24.1640625" bestFit="1" customWidth="1"/>
    <col min="25" max="25" width="28" bestFit="1" customWidth="1"/>
    <col min="26" max="26" width="24.83203125" bestFit="1" customWidth="1"/>
    <col min="27" max="27" width="24.1640625" bestFit="1" customWidth="1"/>
    <col min="28" max="28" width="28" bestFit="1" customWidth="1"/>
    <col min="29" max="29" width="24.83203125" bestFit="1" customWidth="1"/>
    <col min="30" max="30" width="24.1640625" bestFit="1" customWidth="1"/>
    <col min="31" max="31" width="28" bestFit="1" customWidth="1"/>
    <col min="32" max="32" width="24.83203125" bestFit="1" customWidth="1"/>
    <col min="33" max="33" width="24.1640625" bestFit="1" customWidth="1"/>
    <col min="34" max="34" width="28" bestFit="1" customWidth="1"/>
    <col min="35" max="35" width="24.83203125" bestFit="1" customWidth="1"/>
    <col min="36" max="36" width="24.1640625" bestFit="1" customWidth="1"/>
    <col min="37" max="37" width="28" bestFit="1" customWidth="1"/>
    <col min="38" max="38" width="24.83203125" bestFit="1" customWidth="1"/>
    <col min="39" max="39" width="24.1640625" bestFit="1" customWidth="1"/>
    <col min="40" max="40" width="28" bestFit="1" customWidth="1"/>
    <col min="41" max="41" width="14.1640625" bestFit="1" customWidth="1"/>
    <col min="42" max="42" width="19.6640625" bestFit="1" customWidth="1"/>
    <col min="43" max="43" width="26.83203125" bestFit="1" customWidth="1"/>
    <col min="44" max="44" width="17.83203125" bestFit="1" customWidth="1"/>
    <col min="45" max="45" width="19.1640625" bestFit="1" customWidth="1"/>
    <col min="46" max="46" width="22.83203125" bestFit="1" customWidth="1"/>
    <col min="47" max="47" width="24.1640625" bestFit="1" customWidth="1"/>
    <col min="48" max="48" width="24.83203125" bestFit="1" customWidth="1"/>
    <col min="49" max="49" width="24.1640625" bestFit="1" customWidth="1"/>
    <col min="50" max="50" width="28" bestFit="1" customWidth="1"/>
    <col min="51" max="51" width="24.83203125" bestFit="1" customWidth="1"/>
    <col min="52" max="52" width="24.1640625" bestFit="1" customWidth="1"/>
    <col min="53" max="53" width="28" bestFit="1" customWidth="1"/>
    <col min="54" max="54" width="24.83203125" bestFit="1" customWidth="1"/>
    <col min="55" max="55" width="24.1640625" bestFit="1" customWidth="1"/>
    <col min="56" max="56" width="28" bestFit="1" customWidth="1"/>
    <col min="57" max="57" width="24.83203125" bestFit="1" customWidth="1"/>
    <col min="58" max="58" width="24.1640625" bestFit="1" customWidth="1"/>
    <col min="59" max="59" width="28" bestFit="1" customWidth="1"/>
    <col min="60" max="60" width="24.83203125" bestFit="1" customWidth="1"/>
    <col min="61" max="61" width="24.1640625" bestFit="1" customWidth="1"/>
    <col min="62" max="62" width="28" bestFit="1" customWidth="1"/>
    <col min="63" max="63" width="24.83203125" bestFit="1" customWidth="1"/>
    <col min="64" max="64" width="24.1640625" bestFit="1" customWidth="1"/>
    <col min="65" max="65" width="28" bestFit="1" customWidth="1"/>
    <col min="66" max="66" width="24.83203125" bestFit="1" customWidth="1"/>
    <col min="67" max="67" width="24.1640625" bestFit="1" customWidth="1"/>
    <col min="68" max="68" width="28" bestFit="1" customWidth="1"/>
    <col min="69" max="69" width="24.83203125" bestFit="1" customWidth="1"/>
    <col min="70" max="70" width="24.1640625" bestFit="1" customWidth="1"/>
    <col min="71" max="71" width="28" bestFit="1" customWidth="1"/>
    <col min="72" max="72" width="18.5" bestFit="1" customWidth="1"/>
    <col min="73" max="73" width="21" bestFit="1" customWidth="1"/>
    <col min="74" max="74" width="31.1640625" bestFit="1" customWidth="1"/>
    <col min="75" max="75" width="22.1640625" bestFit="1" customWidth="1"/>
    <col min="76" max="76" width="23.5" bestFit="1" customWidth="1"/>
    <col min="77" max="77" width="32" bestFit="1" customWidth="1"/>
    <col min="78" max="78" width="28.5" bestFit="1" customWidth="1"/>
    <col min="79" max="79" width="29.1640625" bestFit="1" customWidth="1"/>
    <col min="80" max="80" width="28.5" bestFit="1" customWidth="1"/>
    <col min="81" max="81" width="32.5" bestFit="1" customWidth="1"/>
    <col min="82" max="82" width="29.1640625" bestFit="1" customWidth="1"/>
    <col min="83" max="83" width="28.5" bestFit="1" customWidth="1"/>
    <col min="84" max="84" width="32.5" bestFit="1" customWidth="1"/>
    <col min="85" max="85" width="29.1640625" bestFit="1" customWidth="1"/>
    <col min="86" max="86" width="28.5" bestFit="1" customWidth="1"/>
    <col min="87" max="87" width="32.5" bestFit="1" customWidth="1"/>
    <col min="88" max="88" width="29.1640625" bestFit="1" customWidth="1"/>
    <col min="89" max="89" width="28.5" bestFit="1" customWidth="1"/>
    <col min="90" max="90" width="32.5" bestFit="1" customWidth="1"/>
    <col min="91" max="91" width="29.1640625" bestFit="1" customWidth="1"/>
    <col min="92" max="92" width="28.5" bestFit="1" customWidth="1"/>
    <col min="93" max="93" width="32.5" bestFit="1" customWidth="1"/>
    <col min="94" max="94" width="29.1640625" bestFit="1" customWidth="1"/>
    <col min="95" max="95" width="28.5" bestFit="1" customWidth="1"/>
    <col min="96" max="96" width="32.5" bestFit="1" customWidth="1"/>
    <col min="97" max="97" width="29.1640625" bestFit="1" customWidth="1"/>
    <col min="98" max="98" width="28.5" bestFit="1" customWidth="1"/>
    <col min="99" max="99" width="32.5" bestFit="1" customWidth="1"/>
    <col min="100" max="100" width="29.1640625" bestFit="1" customWidth="1"/>
    <col min="101" max="101" width="28.5" bestFit="1" customWidth="1"/>
    <col min="102" max="102" width="32.5" bestFit="1" customWidth="1"/>
    <col min="103" max="103" width="18.5" bestFit="1" customWidth="1"/>
    <col min="104" max="104" width="21" bestFit="1" customWidth="1"/>
    <col min="105" max="105" width="31.1640625" bestFit="1" customWidth="1"/>
    <col min="106" max="106" width="22.1640625" bestFit="1" customWidth="1"/>
    <col min="107" max="107" width="23.5" bestFit="1" customWidth="1"/>
    <col min="108" max="108" width="26" bestFit="1" customWidth="1"/>
    <col min="109" max="109" width="28.5" bestFit="1" customWidth="1"/>
    <col min="110" max="110" width="29.1640625" bestFit="1" customWidth="1"/>
    <col min="111" max="111" width="28.5" bestFit="1" customWidth="1"/>
    <col min="112" max="112" width="32.5" bestFit="1" customWidth="1"/>
    <col min="113" max="113" width="29.1640625" bestFit="1" customWidth="1"/>
    <col min="114" max="114" width="28.5" bestFit="1" customWidth="1"/>
    <col min="115" max="115" width="32.5" bestFit="1" customWidth="1"/>
    <col min="116" max="116" width="29.1640625" bestFit="1" customWidth="1"/>
    <col min="117" max="117" width="28.5" bestFit="1" customWidth="1"/>
    <col min="118" max="118" width="32.5" bestFit="1" customWidth="1"/>
    <col min="119" max="119" width="29.1640625" bestFit="1" customWidth="1"/>
    <col min="120" max="120" width="28.5" bestFit="1" customWidth="1"/>
    <col min="121" max="121" width="32.5" bestFit="1" customWidth="1"/>
    <col min="122" max="122" width="29.1640625" bestFit="1" customWidth="1"/>
    <col min="123" max="123" width="28.5" bestFit="1" customWidth="1"/>
    <col min="124" max="124" width="32.5" bestFit="1" customWidth="1"/>
    <col min="125" max="125" width="29.1640625" bestFit="1" customWidth="1"/>
    <col min="126" max="126" width="28.5" bestFit="1" customWidth="1"/>
    <col min="127" max="127" width="32.5" bestFit="1" customWidth="1"/>
    <col min="128" max="128" width="29.1640625" bestFit="1" customWidth="1"/>
    <col min="129" max="129" width="28.5" bestFit="1" customWidth="1"/>
    <col min="130" max="130" width="32.5" bestFit="1" customWidth="1"/>
    <col min="131" max="131" width="29.1640625" bestFit="1" customWidth="1"/>
    <col min="132" max="132" width="28.5" bestFit="1" customWidth="1"/>
    <col min="133" max="133" width="32.5" bestFit="1" customWidth="1"/>
    <col min="134" max="134" width="9" bestFit="1" customWidth="1"/>
    <col min="135" max="135" width="16" bestFit="1" customWidth="1"/>
  </cols>
  <sheetData>
    <row r="1" spans="1:13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236</v>
      </c>
      <c r="EE1" t="s">
        <v>426</v>
      </c>
    </row>
    <row r="2" spans="1:135" x14ac:dyDescent="0.2">
      <c r="A2" s="2" t="s">
        <v>285</v>
      </c>
      <c r="B2" s="1">
        <v>43314.261666666665</v>
      </c>
      <c r="D2">
        <v>54000007</v>
      </c>
      <c r="E2" s="2" t="s">
        <v>439</v>
      </c>
      <c r="F2">
        <v>72000023</v>
      </c>
      <c r="G2" s="2" t="s">
        <v>286</v>
      </c>
      <c r="I2" s="2" t="s">
        <v>134</v>
      </c>
      <c r="J2" s="2" t="s">
        <v>440</v>
      </c>
      <c r="K2" s="2" t="s">
        <v>441</v>
      </c>
      <c r="M2">
        <v>0</v>
      </c>
      <c r="N2" s="2" t="s">
        <v>442</v>
      </c>
      <c r="O2" s="2" t="s">
        <v>443</v>
      </c>
      <c r="P2">
        <v>16000098</v>
      </c>
      <c r="Q2" s="2" t="s">
        <v>184</v>
      </c>
      <c r="R2">
        <v>1</v>
      </c>
      <c r="S2">
        <v>5</v>
      </c>
      <c r="T2" s="2" t="s">
        <v>149</v>
      </c>
      <c r="U2">
        <v>6</v>
      </c>
      <c r="V2">
        <v>11</v>
      </c>
      <c r="W2" s="2" t="s">
        <v>147</v>
      </c>
      <c r="X2">
        <v>6</v>
      </c>
      <c r="Y2">
        <v>11</v>
      </c>
      <c r="Z2" s="2" t="s">
        <v>197</v>
      </c>
      <c r="AA2">
        <v>9</v>
      </c>
      <c r="AB2">
        <v>13</v>
      </c>
      <c r="AC2" s="2" t="s">
        <v>148</v>
      </c>
      <c r="AD2">
        <v>6</v>
      </c>
      <c r="AE2">
        <v>11</v>
      </c>
      <c r="AF2" s="2" t="s">
        <v>165</v>
      </c>
      <c r="AG2">
        <v>7</v>
      </c>
      <c r="AH2">
        <v>13</v>
      </c>
      <c r="AI2" s="2" t="s">
        <v>146</v>
      </c>
      <c r="AJ2">
        <v>9</v>
      </c>
      <c r="AK2">
        <v>13</v>
      </c>
      <c r="AL2" s="2" t="s">
        <v>188</v>
      </c>
      <c r="AM2">
        <v>4</v>
      </c>
      <c r="AN2">
        <v>8</v>
      </c>
      <c r="AO2" s="2" t="s">
        <v>135</v>
      </c>
      <c r="AP2" s="2" t="s">
        <v>136</v>
      </c>
      <c r="AQ2" s="2" t="s">
        <v>133</v>
      </c>
      <c r="AR2">
        <v>0</v>
      </c>
      <c r="AS2" s="2" t="s">
        <v>137</v>
      </c>
      <c r="AT2" s="2" t="s">
        <v>138</v>
      </c>
      <c r="AU2">
        <v>16000171</v>
      </c>
      <c r="AV2" s="2" t="s">
        <v>170</v>
      </c>
      <c r="AW2">
        <v>7</v>
      </c>
      <c r="AX2">
        <v>11</v>
      </c>
      <c r="AY2" s="2" t="s">
        <v>143</v>
      </c>
      <c r="AZ2">
        <v>9</v>
      </c>
      <c r="BA2">
        <v>13</v>
      </c>
      <c r="BB2" s="2" t="s">
        <v>146</v>
      </c>
      <c r="BC2">
        <v>10</v>
      </c>
      <c r="BD2">
        <v>13</v>
      </c>
      <c r="BE2" s="2" t="s">
        <v>145</v>
      </c>
      <c r="BF2">
        <v>4</v>
      </c>
      <c r="BG2">
        <v>8</v>
      </c>
      <c r="BH2" s="2" t="s">
        <v>139</v>
      </c>
      <c r="BI2">
        <v>7</v>
      </c>
      <c r="BJ2">
        <v>11</v>
      </c>
      <c r="BK2" s="2" t="s">
        <v>141</v>
      </c>
      <c r="BL2">
        <v>5</v>
      </c>
      <c r="BM2">
        <v>8</v>
      </c>
      <c r="BN2" s="2" t="s">
        <v>140</v>
      </c>
      <c r="BO2">
        <v>9</v>
      </c>
      <c r="BP2">
        <v>13</v>
      </c>
      <c r="BQ2" s="2" t="s">
        <v>152</v>
      </c>
      <c r="BR2">
        <v>9</v>
      </c>
      <c r="BS2">
        <v>13</v>
      </c>
      <c r="BT2" s="2" t="s">
        <v>444</v>
      </c>
      <c r="BU2" s="2" t="s">
        <v>445</v>
      </c>
      <c r="BW2">
        <v>3</v>
      </c>
      <c r="BX2" s="2" t="s">
        <v>446</v>
      </c>
      <c r="BY2" s="2" t="s">
        <v>447</v>
      </c>
      <c r="BZ2">
        <v>16000162</v>
      </c>
      <c r="CA2" s="2" t="s">
        <v>174</v>
      </c>
      <c r="CB2">
        <v>1</v>
      </c>
      <c r="CC2">
        <v>5</v>
      </c>
      <c r="CD2" s="2" t="s">
        <v>188</v>
      </c>
      <c r="CE2">
        <v>3</v>
      </c>
      <c r="CF2">
        <v>8</v>
      </c>
      <c r="CG2" s="2" t="s">
        <v>189</v>
      </c>
      <c r="CH2">
        <v>6</v>
      </c>
      <c r="CI2">
        <v>11</v>
      </c>
      <c r="CJ2" s="2" t="s">
        <v>178</v>
      </c>
      <c r="CK2">
        <v>2</v>
      </c>
      <c r="CL2">
        <v>8</v>
      </c>
      <c r="CM2" s="2" t="s">
        <v>148</v>
      </c>
      <c r="CN2">
        <v>6</v>
      </c>
      <c r="CO2">
        <v>11</v>
      </c>
      <c r="CP2" s="2" t="s">
        <v>147</v>
      </c>
      <c r="CQ2">
        <v>6</v>
      </c>
      <c r="CR2">
        <v>11</v>
      </c>
      <c r="CS2" s="2" t="s">
        <v>159</v>
      </c>
      <c r="CT2">
        <v>4</v>
      </c>
      <c r="CU2">
        <v>8</v>
      </c>
      <c r="CV2" s="2" t="s">
        <v>204</v>
      </c>
      <c r="CW2">
        <v>2</v>
      </c>
      <c r="CX2">
        <v>8</v>
      </c>
      <c r="CY2" s="2" t="s">
        <v>448</v>
      </c>
      <c r="CZ2" s="2" t="s">
        <v>449</v>
      </c>
      <c r="DA2" s="2" t="s">
        <v>133</v>
      </c>
      <c r="DB2">
        <v>3</v>
      </c>
      <c r="DC2" s="2" t="s">
        <v>450</v>
      </c>
      <c r="DD2" s="2" t="s">
        <v>451</v>
      </c>
      <c r="DE2">
        <v>16000003</v>
      </c>
      <c r="DF2" s="2" t="s">
        <v>195</v>
      </c>
      <c r="DG2">
        <v>3</v>
      </c>
      <c r="DH2">
        <v>8</v>
      </c>
      <c r="DI2" s="2" t="s">
        <v>146</v>
      </c>
      <c r="DJ2">
        <v>8</v>
      </c>
      <c r="DK2">
        <v>13</v>
      </c>
      <c r="DL2" s="2" t="s">
        <v>176</v>
      </c>
      <c r="DM2">
        <v>3</v>
      </c>
      <c r="DN2">
        <v>8</v>
      </c>
      <c r="DO2" s="2" t="s">
        <v>188</v>
      </c>
      <c r="DP2">
        <v>3</v>
      </c>
      <c r="DQ2">
        <v>8</v>
      </c>
      <c r="DR2" s="2" t="s">
        <v>183</v>
      </c>
      <c r="DS2">
        <v>1</v>
      </c>
      <c r="DT2">
        <v>5</v>
      </c>
      <c r="DU2" s="2" t="s">
        <v>147</v>
      </c>
      <c r="DV2">
        <v>6</v>
      </c>
      <c r="DW2">
        <v>11</v>
      </c>
      <c r="DX2" s="2" t="s">
        <v>175</v>
      </c>
      <c r="DY2">
        <v>1</v>
      </c>
      <c r="DZ2">
        <v>5</v>
      </c>
      <c r="EA2" s="2" t="s">
        <v>159</v>
      </c>
      <c r="EB2">
        <v>4</v>
      </c>
      <c r="EC2">
        <v>8</v>
      </c>
      <c r="ED2" t="str">
        <f t="shared" ref="ED2:ED26" si="0">IF(M2 &gt; BW2, "W", IF(M2 &lt; BW2, "L", IF(M2 = BW2, "T")))</f>
        <v>L</v>
      </c>
      <c r="EE2">
        <f t="shared" ref="EE2:EE26" si="1">M2-BW2</f>
        <v>-3</v>
      </c>
    </row>
    <row r="3" spans="1:135" x14ac:dyDescent="0.2">
      <c r="A3" s="2" t="s">
        <v>285</v>
      </c>
      <c r="B3" s="1">
        <v>43314.257002314815</v>
      </c>
      <c r="D3">
        <v>54000002</v>
      </c>
      <c r="E3" s="2" t="s">
        <v>185</v>
      </c>
      <c r="F3">
        <v>72000023</v>
      </c>
      <c r="G3" s="2" t="s">
        <v>286</v>
      </c>
      <c r="I3" s="2" t="s">
        <v>134</v>
      </c>
      <c r="J3" s="2" t="s">
        <v>135</v>
      </c>
      <c r="K3" s="2" t="s">
        <v>136</v>
      </c>
      <c r="M3">
        <v>2</v>
      </c>
      <c r="N3" s="2" t="s">
        <v>137</v>
      </c>
      <c r="O3" s="2" t="s">
        <v>138</v>
      </c>
      <c r="P3">
        <v>16000171</v>
      </c>
      <c r="Q3" s="2" t="s">
        <v>170</v>
      </c>
      <c r="R3">
        <v>7</v>
      </c>
      <c r="S3">
        <v>11</v>
      </c>
      <c r="T3" s="2" t="s">
        <v>143</v>
      </c>
      <c r="U3">
        <v>9</v>
      </c>
      <c r="V3">
        <v>13</v>
      </c>
      <c r="W3" s="2" t="s">
        <v>146</v>
      </c>
      <c r="X3">
        <v>10</v>
      </c>
      <c r="Y3">
        <v>13</v>
      </c>
      <c r="Z3" s="2" t="s">
        <v>145</v>
      </c>
      <c r="AA3">
        <v>4</v>
      </c>
      <c r="AB3">
        <v>8</v>
      </c>
      <c r="AC3" s="2" t="s">
        <v>139</v>
      </c>
      <c r="AD3">
        <v>7</v>
      </c>
      <c r="AE3">
        <v>11</v>
      </c>
      <c r="AF3" s="2" t="s">
        <v>141</v>
      </c>
      <c r="AG3">
        <v>5</v>
      </c>
      <c r="AH3">
        <v>8</v>
      </c>
      <c r="AI3" s="2" t="s">
        <v>140</v>
      </c>
      <c r="AJ3">
        <v>9</v>
      </c>
      <c r="AK3">
        <v>13</v>
      </c>
      <c r="AL3" s="2" t="s">
        <v>152</v>
      </c>
      <c r="AM3">
        <v>9</v>
      </c>
      <c r="AN3">
        <v>13</v>
      </c>
      <c r="AO3" s="2" t="s">
        <v>427</v>
      </c>
      <c r="AP3" s="2" t="s">
        <v>428</v>
      </c>
      <c r="AQ3" s="2" t="s">
        <v>133</v>
      </c>
      <c r="AR3">
        <v>2</v>
      </c>
      <c r="AS3" s="2" t="s">
        <v>429</v>
      </c>
      <c r="AT3" s="2" t="s">
        <v>430</v>
      </c>
      <c r="AU3">
        <v>16000162</v>
      </c>
      <c r="AV3" s="2" t="s">
        <v>145</v>
      </c>
      <c r="AW3">
        <v>3</v>
      </c>
      <c r="AX3">
        <v>8</v>
      </c>
      <c r="AY3" s="2" t="s">
        <v>199</v>
      </c>
      <c r="AZ3">
        <v>1</v>
      </c>
      <c r="BA3">
        <v>5</v>
      </c>
      <c r="BB3" s="2" t="s">
        <v>195</v>
      </c>
      <c r="BC3">
        <v>5</v>
      </c>
      <c r="BD3">
        <v>8</v>
      </c>
      <c r="BE3" s="2" t="s">
        <v>188</v>
      </c>
      <c r="BF3">
        <v>4</v>
      </c>
      <c r="BG3">
        <v>8</v>
      </c>
      <c r="BH3" s="2" t="s">
        <v>194</v>
      </c>
      <c r="BI3">
        <v>3</v>
      </c>
      <c r="BJ3">
        <v>8</v>
      </c>
      <c r="BK3" s="2" t="s">
        <v>197</v>
      </c>
      <c r="BL3">
        <v>10</v>
      </c>
      <c r="BM3">
        <v>13</v>
      </c>
      <c r="BN3" s="2" t="s">
        <v>147</v>
      </c>
      <c r="BO3">
        <v>7</v>
      </c>
      <c r="BP3">
        <v>11</v>
      </c>
      <c r="BQ3" s="2" t="s">
        <v>146</v>
      </c>
      <c r="BR3">
        <v>10</v>
      </c>
      <c r="BS3">
        <v>13</v>
      </c>
      <c r="BT3" s="2" t="s">
        <v>431</v>
      </c>
      <c r="BU3" s="2" t="s">
        <v>432</v>
      </c>
      <c r="BW3">
        <v>1</v>
      </c>
      <c r="BX3" s="2" t="s">
        <v>433</v>
      </c>
      <c r="BY3" s="2" t="s">
        <v>434</v>
      </c>
      <c r="BZ3">
        <v>16000108</v>
      </c>
      <c r="CA3" s="2" t="s">
        <v>151</v>
      </c>
      <c r="CB3">
        <v>2</v>
      </c>
      <c r="CC3">
        <v>5</v>
      </c>
      <c r="CD3" s="2" t="s">
        <v>148</v>
      </c>
      <c r="CE3">
        <v>6</v>
      </c>
      <c r="CF3">
        <v>11</v>
      </c>
      <c r="CG3" s="2" t="s">
        <v>218</v>
      </c>
      <c r="CH3">
        <v>5</v>
      </c>
      <c r="CI3">
        <v>8</v>
      </c>
      <c r="CJ3" s="2" t="s">
        <v>194</v>
      </c>
      <c r="CK3">
        <v>3</v>
      </c>
      <c r="CL3">
        <v>8</v>
      </c>
      <c r="CM3" s="2" t="s">
        <v>186</v>
      </c>
      <c r="CN3">
        <v>4</v>
      </c>
      <c r="CO3">
        <v>8</v>
      </c>
      <c r="CP3" s="2" t="s">
        <v>179</v>
      </c>
      <c r="CQ3">
        <v>4</v>
      </c>
      <c r="CR3">
        <v>8</v>
      </c>
      <c r="CS3" s="2" t="s">
        <v>144</v>
      </c>
      <c r="CT3">
        <v>8</v>
      </c>
      <c r="CU3">
        <v>13</v>
      </c>
      <c r="CV3" s="2" t="s">
        <v>213</v>
      </c>
      <c r="CW3">
        <v>6</v>
      </c>
      <c r="CX3">
        <v>11</v>
      </c>
      <c r="CY3" s="2" t="s">
        <v>435</v>
      </c>
      <c r="CZ3" s="2" t="s">
        <v>436</v>
      </c>
      <c r="DA3" s="2" t="s">
        <v>133</v>
      </c>
      <c r="DB3">
        <v>1</v>
      </c>
      <c r="DC3" s="2" t="s">
        <v>437</v>
      </c>
      <c r="DD3" s="2" t="s">
        <v>438</v>
      </c>
      <c r="DE3">
        <v>16000026</v>
      </c>
      <c r="DF3" s="2" t="s">
        <v>189</v>
      </c>
      <c r="DG3">
        <v>6</v>
      </c>
      <c r="DH3">
        <v>11</v>
      </c>
      <c r="DI3" s="2" t="s">
        <v>188</v>
      </c>
      <c r="DJ3">
        <v>3</v>
      </c>
      <c r="DK3">
        <v>8</v>
      </c>
      <c r="DL3" s="2" t="s">
        <v>141</v>
      </c>
      <c r="DM3">
        <v>3</v>
      </c>
      <c r="DN3">
        <v>8</v>
      </c>
      <c r="DO3" s="2" t="s">
        <v>201</v>
      </c>
      <c r="DP3">
        <v>5</v>
      </c>
      <c r="DQ3">
        <v>11</v>
      </c>
      <c r="DR3" s="2" t="s">
        <v>148</v>
      </c>
      <c r="DS3">
        <v>7</v>
      </c>
      <c r="DT3">
        <v>11</v>
      </c>
      <c r="DU3" s="2" t="s">
        <v>159</v>
      </c>
      <c r="DV3">
        <v>3</v>
      </c>
      <c r="DW3">
        <v>8</v>
      </c>
      <c r="DX3" s="2" t="s">
        <v>179</v>
      </c>
      <c r="DY3">
        <v>4</v>
      </c>
      <c r="DZ3">
        <v>8</v>
      </c>
      <c r="EA3" s="2" t="s">
        <v>147</v>
      </c>
      <c r="EB3">
        <v>6</v>
      </c>
      <c r="EC3">
        <v>11</v>
      </c>
      <c r="ED3" t="str">
        <f t="shared" si="0"/>
        <v>W</v>
      </c>
      <c r="EE3">
        <f t="shared" si="1"/>
        <v>1</v>
      </c>
    </row>
    <row r="4" spans="1:135" x14ac:dyDescent="0.2">
      <c r="A4" s="2" t="s">
        <v>225</v>
      </c>
      <c r="B4" s="1">
        <v>43314.200844907406</v>
      </c>
      <c r="C4">
        <v>65000001</v>
      </c>
      <c r="D4">
        <v>54000013</v>
      </c>
      <c r="E4" s="2" t="s">
        <v>241</v>
      </c>
      <c r="F4">
        <v>72000010</v>
      </c>
      <c r="G4" s="2" t="s">
        <v>227</v>
      </c>
      <c r="H4">
        <v>3</v>
      </c>
      <c r="I4" s="2" t="s">
        <v>134</v>
      </c>
      <c r="J4" s="2" t="s">
        <v>135</v>
      </c>
      <c r="K4" s="2" t="s">
        <v>136</v>
      </c>
      <c r="L4">
        <v>2815</v>
      </c>
      <c r="M4">
        <v>0</v>
      </c>
      <c r="N4" s="2" t="s">
        <v>137</v>
      </c>
      <c r="O4" s="2" t="s">
        <v>138</v>
      </c>
      <c r="P4">
        <v>16000171</v>
      </c>
      <c r="Q4" s="2" t="s">
        <v>170</v>
      </c>
      <c r="R4">
        <v>7</v>
      </c>
      <c r="S4">
        <v>11</v>
      </c>
      <c r="T4" s="2" t="s">
        <v>143</v>
      </c>
      <c r="U4">
        <v>9</v>
      </c>
      <c r="V4">
        <v>13</v>
      </c>
      <c r="W4" s="2" t="s">
        <v>146</v>
      </c>
      <c r="X4">
        <v>9</v>
      </c>
      <c r="Y4">
        <v>13</v>
      </c>
      <c r="Z4" s="2" t="s">
        <v>145</v>
      </c>
      <c r="AA4">
        <v>4</v>
      </c>
      <c r="AB4">
        <v>8</v>
      </c>
      <c r="AC4" s="2" t="s">
        <v>139</v>
      </c>
      <c r="AD4">
        <v>7</v>
      </c>
      <c r="AE4">
        <v>11</v>
      </c>
      <c r="AF4" s="2" t="s">
        <v>141</v>
      </c>
      <c r="AG4">
        <v>4</v>
      </c>
      <c r="AH4">
        <v>8</v>
      </c>
      <c r="AI4" s="2" t="s">
        <v>140</v>
      </c>
      <c r="AJ4">
        <v>9</v>
      </c>
      <c r="AK4">
        <v>13</v>
      </c>
      <c r="AL4" s="2" t="s">
        <v>152</v>
      </c>
      <c r="AM4">
        <v>9</v>
      </c>
      <c r="AN4">
        <v>13</v>
      </c>
      <c r="AO4" s="2" t="s">
        <v>133</v>
      </c>
      <c r="AP4" s="2" t="s">
        <v>133</v>
      </c>
      <c r="AQ4" s="2" t="s">
        <v>133</v>
      </c>
      <c r="AS4" s="2" t="s">
        <v>133</v>
      </c>
      <c r="AT4" s="2" t="s">
        <v>133</v>
      </c>
      <c r="AV4" s="2" t="s">
        <v>133</v>
      </c>
      <c r="AY4" s="2" t="s">
        <v>133</v>
      </c>
      <c r="BB4" s="2" t="s">
        <v>133</v>
      </c>
      <c r="BE4" s="2" t="s">
        <v>133</v>
      </c>
      <c r="BH4" s="2" t="s">
        <v>133</v>
      </c>
      <c r="BK4" s="2" t="s">
        <v>133</v>
      </c>
      <c r="BN4" s="2" t="s">
        <v>133</v>
      </c>
      <c r="BQ4" s="2" t="s">
        <v>133</v>
      </c>
      <c r="BT4" s="2" t="s">
        <v>249</v>
      </c>
      <c r="BU4" s="2" t="s">
        <v>250</v>
      </c>
      <c r="BV4">
        <v>4300</v>
      </c>
      <c r="BW4">
        <v>2</v>
      </c>
      <c r="BX4" s="2" t="s">
        <v>251</v>
      </c>
      <c r="BY4" s="2" t="s">
        <v>252</v>
      </c>
      <c r="BZ4">
        <v>16000077</v>
      </c>
      <c r="CA4" s="2" t="s">
        <v>172</v>
      </c>
      <c r="CB4">
        <v>9</v>
      </c>
      <c r="CC4">
        <v>13</v>
      </c>
      <c r="CD4" s="2" t="s">
        <v>149</v>
      </c>
      <c r="CE4">
        <v>7</v>
      </c>
      <c r="CF4">
        <v>11</v>
      </c>
      <c r="CG4" s="2" t="s">
        <v>144</v>
      </c>
      <c r="CH4">
        <v>9</v>
      </c>
      <c r="CI4">
        <v>13</v>
      </c>
      <c r="CJ4" s="2" t="s">
        <v>146</v>
      </c>
      <c r="CK4">
        <v>9</v>
      </c>
      <c r="CL4">
        <v>13</v>
      </c>
      <c r="CM4" s="2" t="s">
        <v>175</v>
      </c>
      <c r="CN4">
        <v>1</v>
      </c>
      <c r="CO4">
        <v>5</v>
      </c>
      <c r="CP4" s="2" t="s">
        <v>165</v>
      </c>
      <c r="CQ4">
        <v>9</v>
      </c>
      <c r="CR4">
        <v>13</v>
      </c>
      <c r="CS4" s="2" t="s">
        <v>202</v>
      </c>
      <c r="CT4">
        <v>9</v>
      </c>
      <c r="CU4">
        <v>13</v>
      </c>
      <c r="CV4" s="2" t="s">
        <v>154</v>
      </c>
      <c r="CW4">
        <v>4</v>
      </c>
      <c r="CX4">
        <v>8</v>
      </c>
      <c r="CY4" s="2" t="s">
        <v>133</v>
      </c>
      <c r="CZ4" s="2" t="s">
        <v>133</v>
      </c>
      <c r="DA4" s="2" t="s">
        <v>133</v>
      </c>
      <c r="DC4" s="2" t="s">
        <v>133</v>
      </c>
      <c r="DD4" s="2" t="s">
        <v>133</v>
      </c>
      <c r="DF4" s="2" t="s">
        <v>133</v>
      </c>
      <c r="DI4" s="2" t="s">
        <v>133</v>
      </c>
      <c r="DL4" s="2" t="s">
        <v>133</v>
      </c>
      <c r="DO4" s="2" t="s">
        <v>133</v>
      </c>
      <c r="DR4" s="2" t="s">
        <v>133</v>
      </c>
      <c r="DU4" s="2" t="s">
        <v>133</v>
      </c>
      <c r="DX4" s="2" t="s">
        <v>133</v>
      </c>
      <c r="EA4" s="2" t="s">
        <v>133</v>
      </c>
      <c r="ED4" t="str">
        <f t="shared" si="0"/>
        <v>L</v>
      </c>
      <c r="EE4">
        <f t="shared" si="1"/>
        <v>-2</v>
      </c>
    </row>
    <row r="5" spans="1:135" x14ac:dyDescent="0.2">
      <c r="A5" s="2" t="s">
        <v>225</v>
      </c>
      <c r="B5" s="1">
        <v>43314.197291666664</v>
      </c>
      <c r="C5">
        <v>65000001</v>
      </c>
      <c r="D5">
        <v>54000012</v>
      </c>
      <c r="E5" s="2" t="s">
        <v>226</v>
      </c>
      <c r="F5">
        <v>72000010</v>
      </c>
      <c r="G5" s="2" t="s">
        <v>227</v>
      </c>
      <c r="H5">
        <v>2</v>
      </c>
      <c r="I5" s="2" t="s">
        <v>134</v>
      </c>
      <c r="J5" s="2" t="s">
        <v>135</v>
      </c>
      <c r="K5" s="2" t="s">
        <v>136</v>
      </c>
      <c r="L5">
        <v>2815</v>
      </c>
      <c r="M5">
        <v>1</v>
      </c>
      <c r="N5" s="2" t="s">
        <v>137</v>
      </c>
      <c r="O5" s="2" t="s">
        <v>138</v>
      </c>
      <c r="P5">
        <v>16000171</v>
      </c>
      <c r="Q5" s="2" t="s">
        <v>170</v>
      </c>
      <c r="R5">
        <v>7</v>
      </c>
      <c r="S5">
        <v>11</v>
      </c>
      <c r="T5" s="2" t="s">
        <v>143</v>
      </c>
      <c r="U5">
        <v>9</v>
      </c>
      <c r="V5">
        <v>13</v>
      </c>
      <c r="W5" s="2" t="s">
        <v>146</v>
      </c>
      <c r="X5">
        <v>9</v>
      </c>
      <c r="Y5">
        <v>13</v>
      </c>
      <c r="Z5" s="2" t="s">
        <v>145</v>
      </c>
      <c r="AA5">
        <v>4</v>
      </c>
      <c r="AB5">
        <v>8</v>
      </c>
      <c r="AC5" s="2" t="s">
        <v>139</v>
      </c>
      <c r="AD5">
        <v>7</v>
      </c>
      <c r="AE5">
        <v>11</v>
      </c>
      <c r="AF5" s="2" t="s">
        <v>141</v>
      </c>
      <c r="AG5">
        <v>4</v>
      </c>
      <c r="AH5">
        <v>8</v>
      </c>
      <c r="AI5" s="2" t="s">
        <v>140</v>
      </c>
      <c r="AJ5">
        <v>9</v>
      </c>
      <c r="AK5">
        <v>13</v>
      </c>
      <c r="AL5" s="2" t="s">
        <v>152</v>
      </c>
      <c r="AM5">
        <v>9</v>
      </c>
      <c r="AN5">
        <v>13</v>
      </c>
      <c r="AO5" s="2" t="s">
        <v>133</v>
      </c>
      <c r="AP5" s="2" t="s">
        <v>133</v>
      </c>
      <c r="AQ5" s="2" t="s">
        <v>133</v>
      </c>
      <c r="AS5" s="2" t="s">
        <v>133</v>
      </c>
      <c r="AT5" s="2" t="s">
        <v>133</v>
      </c>
      <c r="AV5" s="2" t="s">
        <v>133</v>
      </c>
      <c r="AY5" s="2" t="s">
        <v>133</v>
      </c>
      <c r="BB5" s="2" t="s">
        <v>133</v>
      </c>
      <c r="BE5" s="2" t="s">
        <v>133</v>
      </c>
      <c r="BH5" s="2" t="s">
        <v>133</v>
      </c>
      <c r="BK5" s="2" t="s">
        <v>133</v>
      </c>
      <c r="BN5" s="2" t="s">
        <v>133</v>
      </c>
      <c r="BQ5" s="2" t="s">
        <v>133</v>
      </c>
      <c r="BT5" s="2" t="s">
        <v>253</v>
      </c>
      <c r="BU5" s="2" t="s">
        <v>254</v>
      </c>
      <c r="BV5">
        <v>4855</v>
      </c>
      <c r="BW5">
        <v>0</v>
      </c>
      <c r="BX5" s="2" t="s">
        <v>255</v>
      </c>
      <c r="BY5" s="2" t="s">
        <v>256</v>
      </c>
      <c r="BZ5">
        <v>16000029</v>
      </c>
      <c r="CA5" s="2" t="s">
        <v>139</v>
      </c>
      <c r="CB5">
        <v>7</v>
      </c>
      <c r="CC5">
        <v>11</v>
      </c>
      <c r="CD5" s="2" t="s">
        <v>165</v>
      </c>
      <c r="CE5">
        <v>9</v>
      </c>
      <c r="CF5">
        <v>13</v>
      </c>
      <c r="CG5" s="2" t="s">
        <v>192</v>
      </c>
      <c r="CH5">
        <v>7</v>
      </c>
      <c r="CI5">
        <v>11</v>
      </c>
      <c r="CJ5" s="2" t="s">
        <v>245</v>
      </c>
      <c r="CK5">
        <v>7</v>
      </c>
      <c r="CL5">
        <v>11</v>
      </c>
      <c r="CM5" s="2" t="s">
        <v>160</v>
      </c>
      <c r="CN5">
        <v>1</v>
      </c>
      <c r="CO5">
        <v>5</v>
      </c>
      <c r="CP5" s="2" t="s">
        <v>175</v>
      </c>
      <c r="CQ5">
        <v>1</v>
      </c>
      <c r="CR5">
        <v>5</v>
      </c>
      <c r="CS5" s="2" t="s">
        <v>196</v>
      </c>
      <c r="CT5">
        <v>4</v>
      </c>
      <c r="CU5">
        <v>8</v>
      </c>
      <c r="CV5" s="2" t="s">
        <v>193</v>
      </c>
      <c r="CW5">
        <v>4</v>
      </c>
      <c r="CX5">
        <v>8</v>
      </c>
      <c r="CY5" s="2" t="s">
        <v>133</v>
      </c>
      <c r="CZ5" s="2" t="s">
        <v>133</v>
      </c>
      <c r="DA5" s="2" t="s">
        <v>133</v>
      </c>
      <c r="DC5" s="2" t="s">
        <v>133</v>
      </c>
      <c r="DD5" s="2" t="s">
        <v>133</v>
      </c>
      <c r="DF5" s="2" t="s">
        <v>133</v>
      </c>
      <c r="DI5" s="2" t="s">
        <v>133</v>
      </c>
      <c r="DL5" s="2" t="s">
        <v>133</v>
      </c>
      <c r="DO5" s="2" t="s">
        <v>133</v>
      </c>
      <c r="DR5" s="2" t="s">
        <v>133</v>
      </c>
      <c r="DU5" s="2" t="s">
        <v>133</v>
      </c>
      <c r="DX5" s="2" t="s">
        <v>133</v>
      </c>
      <c r="EA5" s="2" t="s">
        <v>133</v>
      </c>
      <c r="ED5" t="str">
        <f t="shared" si="0"/>
        <v>W</v>
      </c>
      <c r="EE5">
        <f t="shared" si="1"/>
        <v>1</v>
      </c>
    </row>
    <row r="6" spans="1:135" x14ac:dyDescent="0.2">
      <c r="A6" s="2" t="s">
        <v>225</v>
      </c>
      <c r="B6" s="1">
        <v>43314.190370370372</v>
      </c>
      <c r="C6">
        <v>65000001</v>
      </c>
      <c r="D6">
        <v>54000001</v>
      </c>
      <c r="E6" s="2" t="s">
        <v>228</v>
      </c>
      <c r="F6">
        <v>72000010</v>
      </c>
      <c r="G6" s="2" t="s">
        <v>227</v>
      </c>
      <c r="H6">
        <v>1</v>
      </c>
      <c r="I6" s="2" t="s">
        <v>134</v>
      </c>
      <c r="J6" s="2" t="s">
        <v>135</v>
      </c>
      <c r="K6" s="2" t="s">
        <v>136</v>
      </c>
      <c r="L6">
        <v>2815</v>
      </c>
      <c r="M6">
        <v>2</v>
      </c>
      <c r="N6" s="2" t="s">
        <v>137</v>
      </c>
      <c r="O6" s="2" t="s">
        <v>138</v>
      </c>
      <c r="P6">
        <v>16000171</v>
      </c>
      <c r="Q6" s="2" t="s">
        <v>170</v>
      </c>
      <c r="R6">
        <v>7</v>
      </c>
      <c r="S6">
        <v>11</v>
      </c>
      <c r="T6" s="2" t="s">
        <v>143</v>
      </c>
      <c r="U6">
        <v>9</v>
      </c>
      <c r="V6">
        <v>13</v>
      </c>
      <c r="W6" s="2" t="s">
        <v>146</v>
      </c>
      <c r="X6">
        <v>9</v>
      </c>
      <c r="Y6">
        <v>13</v>
      </c>
      <c r="Z6" s="2" t="s">
        <v>145</v>
      </c>
      <c r="AA6">
        <v>4</v>
      </c>
      <c r="AB6">
        <v>8</v>
      </c>
      <c r="AC6" s="2" t="s">
        <v>139</v>
      </c>
      <c r="AD6">
        <v>7</v>
      </c>
      <c r="AE6">
        <v>11</v>
      </c>
      <c r="AF6" s="2" t="s">
        <v>141</v>
      </c>
      <c r="AG6">
        <v>4</v>
      </c>
      <c r="AH6">
        <v>8</v>
      </c>
      <c r="AI6" s="2" t="s">
        <v>140</v>
      </c>
      <c r="AJ6">
        <v>9</v>
      </c>
      <c r="AK6">
        <v>13</v>
      </c>
      <c r="AL6" s="2" t="s">
        <v>152</v>
      </c>
      <c r="AM6">
        <v>9</v>
      </c>
      <c r="AN6">
        <v>13</v>
      </c>
      <c r="AO6" s="2" t="s">
        <v>133</v>
      </c>
      <c r="AP6" s="2" t="s">
        <v>133</v>
      </c>
      <c r="AQ6" s="2" t="s">
        <v>133</v>
      </c>
      <c r="AS6" s="2" t="s">
        <v>133</v>
      </c>
      <c r="AT6" s="2" t="s">
        <v>133</v>
      </c>
      <c r="AV6" s="2" t="s">
        <v>133</v>
      </c>
      <c r="AY6" s="2" t="s">
        <v>133</v>
      </c>
      <c r="BB6" s="2" t="s">
        <v>133</v>
      </c>
      <c r="BE6" s="2" t="s">
        <v>133</v>
      </c>
      <c r="BH6" s="2" t="s">
        <v>133</v>
      </c>
      <c r="BK6" s="2" t="s">
        <v>133</v>
      </c>
      <c r="BN6" s="2" t="s">
        <v>133</v>
      </c>
      <c r="BQ6" s="2" t="s">
        <v>133</v>
      </c>
      <c r="BT6" s="2" t="s">
        <v>257</v>
      </c>
      <c r="BU6" s="2" t="s">
        <v>258</v>
      </c>
      <c r="BV6">
        <v>2221</v>
      </c>
      <c r="BW6">
        <v>0</v>
      </c>
      <c r="BX6" s="2" t="s">
        <v>259</v>
      </c>
      <c r="BY6" s="2" t="s">
        <v>260</v>
      </c>
      <c r="BZ6">
        <v>16000123</v>
      </c>
      <c r="CA6" s="2" t="s">
        <v>197</v>
      </c>
      <c r="CB6">
        <v>7</v>
      </c>
      <c r="CC6">
        <v>13</v>
      </c>
      <c r="CD6" s="2" t="s">
        <v>175</v>
      </c>
      <c r="CE6">
        <v>1</v>
      </c>
      <c r="CF6">
        <v>5</v>
      </c>
      <c r="CG6" s="2" t="s">
        <v>203</v>
      </c>
      <c r="CH6">
        <v>6</v>
      </c>
      <c r="CI6">
        <v>11</v>
      </c>
      <c r="CJ6" s="2" t="s">
        <v>195</v>
      </c>
      <c r="CK6">
        <v>3</v>
      </c>
      <c r="CL6">
        <v>8</v>
      </c>
      <c r="CM6" s="2" t="s">
        <v>204</v>
      </c>
      <c r="CN6">
        <v>3</v>
      </c>
      <c r="CO6">
        <v>8</v>
      </c>
      <c r="CP6" s="2" t="s">
        <v>166</v>
      </c>
      <c r="CQ6">
        <v>1</v>
      </c>
      <c r="CR6">
        <v>5</v>
      </c>
      <c r="CS6" s="2" t="s">
        <v>224</v>
      </c>
      <c r="CT6">
        <v>6</v>
      </c>
      <c r="CU6">
        <v>11</v>
      </c>
      <c r="CV6" s="2" t="s">
        <v>188</v>
      </c>
      <c r="CW6">
        <v>3</v>
      </c>
      <c r="CX6">
        <v>8</v>
      </c>
      <c r="CY6" s="2" t="s">
        <v>133</v>
      </c>
      <c r="CZ6" s="2" t="s">
        <v>133</v>
      </c>
      <c r="DA6" s="2" t="s">
        <v>133</v>
      </c>
      <c r="DC6" s="2" t="s">
        <v>133</v>
      </c>
      <c r="DD6" s="2" t="s">
        <v>133</v>
      </c>
      <c r="DF6" s="2" t="s">
        <v>133</v>
      </c>
      <c r="DI6" s="2" t="s">
        <v>133</v>
      </c>
      <c r="DL6" s="2" t="s">
        <v>133</v>
      </c>
      <c r="DO6" s="2" t="s">
        <v>133</v>
      </c>
      <c r="DR6" s="2" t="s">
        <v>133</v>
      </c>
      <c r="DU6" s="2" t="s">
        <v>133</v>
      </c>
      <c r="DX6" s="2" t="s">
        <v>133</v>
      </c>
      <c r="EA6" s="2" t="s">
        <v>133</v>
      </c>
      <c r="ED6" t="str">
        <f t="shared" si="0"/>
        <v>W</v>
      </c>
      <c r="EE6">
        <f t="shared" si="1"/>
        <v>2</v>
      </c>
    </row>
    <row r="7" spans="1:135" x14ac:dyDescent="0.2">
      <c r="A7" s="2" t="s">
        <v>225</v>
      </c>
      <c r="B7" s="1">
        <v>43314.187858796293</v>
      </c>
      <c r="C7">
        <v>65000001</v>
      </c>
      <c r="D7">
        <v>54000013</v>
      </c>
      <c r="E7" s="2" t="s">
        <v>241</v>
      </c>
      <c r="F7">
        <v>72000010</v>
      </c>
      <c r="G7" s="2" t="s">
        <v>227</v>
      </c>
      <c r="H7">
        <v>1</v>
      </c>
      <c r="I7" s="2" t="s">
        <v>134</v>
      </c>
      <c r="J7" s="2" t="s">
        <v>135</v>
      </c>
      <c r="K7" s="2" t="s">
        <v>136</v>
      </c>
      <c r="L7">
        <v>2815</v>
      </c>
      <c r="M7">
        <v>0</v>
      </c>
      <c r="N7" s="2" t="s">
        <v>137</v>
      </c>
      <c r="O7" s="2" t="s">
        <v>138</v>
      </c>
      <c r="P7">
        <v>16000171</v>
      </c>
      <c r="Q7" s="2" t="s">
        <v>170</v>
      </c>
      <c r="R7">
        <v>7</v>
      </c>
      <c r="S7">
        <v>11</v>
      </c>
      <c r="T7" s="2" t="s">
        <v>143</v>
      </c>
      <c r="U7">
        <v>9</v>
      </c>
      <c r="V7">
        <v>13</v>
      </c>
      <c r="W7" s="2" t="s">
        <v>146</v>
      </c>
      <c r="X7">
        <v>9</v>
      </c>
      <c r="Y7">
        <v>13</v>
      </c>
      <c r="Z7" s="2" t="s">
        <v>145</v>
      </c>
      <c r="AA7">
        <v>4</v>
      </c>
      <c r="AB7">
        <v>8</v>
      </c>
      <c r="AC7" s="2" t="s">
        <v>139</v>
      </c>
      <c r="AD7">
        <v>7</v>
      </c>
      <c r="AE7">
        <v>11</v>
      </c>
      <c r="AF7" s="2" t="s">
        <v>141</v>
      </c>
      <c r="AG7">
        <v>4</v>
      </c>
      <c r="AH7">
        <v>8</v>
      </c>
      <c r="AI7" s="2" t="s">
        <v>140</v>
      </c>
      <c r="AJ7">
        <v>9</v>
      </c>
      <c r="AK7">
        <v>13</v>
      </c>
      <c r="AL7" s="2" t="s">
        <v>152</v>
      </c>
      <c r="AM7">
        <v>9</v>
      </c>
      <c r="AN7">
        <v>13</v>
      </c>
      <c r="AO7" s="2" t="s">
        <v>133</v>
      </c>
      <c r="AP7" s="2" t="s">
        <v>133</v>
      </c>
      <c r="AQ7" s="2" t="s">
        <v>133</v>
      </c>
      <c r="AS7" s="2" t="s">
        <v>133</v>
      </c>
      <c r="AT7" s="2" t="s">
        <v>133</v>
      </c>
      <c r="AV7" s="2" t="s">
        <v>133</v>
      </c>
      <c r="AY7" s="2" t="s">
        <v>133</v>
      </c>
      <c r="BB7" s="2" t="s">
        <v>133</v>
      </c>
      <c r="BE7" s="2" t="s">
        <v>133</v>
      </c>
      <c r="BH7" s="2" t="s">
        <v>133</v>
      </c>
      <c r="BK7" s="2" t="s">
        <v>133</v>
      </c>
      <c r="BN7" s="2" t="s">
        <v>133</v>
      </c>
      <c r="BQ7" s="2" t="s">
        <v>133</v>
      </c>
      <c r="BT7" s="2" t="s">
        <v>261</v>
      </c>
      <c r="BU7" s="2" t="s">
        <v>262</v>
      </c>
      <c r="BV7">
        <v>4333</v>
      </c>
      <c r="BW7">
        <v>1</v>
      </c>
      <c r="BX7" s="2" t="s">
        <v>263</v>
      </c>
      <c r="BY7" s="2" t="s">
        <v>264</v>
      </c>
      <c r="BZ7">
        <v>16000063</v>
      </c>
      <c r="CA7" s="2" t="s">
        <v>223</v>
      </c>
      <c r="CB7">
        <v>7</v>
      </c>
      <c r="CC7">
        <v>11</v>
      </c>
      <c r="CD7" s="2" t="s">
        <v>168</v>
      </c>
      <c r="CE7">
        <v>9</v>
      </c>
      <c r="CF7">
        <v>13</v>
      </c>
      <c r="CG7" s="2" t="s">
        <v>218</v>
      </c>
      <c r="CH7">
        <v>4</v>
      </c>
      <c r="CI7">
        <v>8</v>
      </c>
      <c r="CJ7" s="2" t="s">
        <v>157</v>
      </c>
      <c r="CK7">
        <v>7</v>
      </c>
      <c r="CL7">
        <v>11</v>
      </c>
      <c r="CM7" s="2" t="s">
        <v>219</v>
      </c>
      <c r="CN7">
        <v>1</v>
      </c>
      <c r="CO7">
        <v>5</v>
      </c>
      <c r="CP7" s="2" t="s">
        <v>151</v>
      </c>
      <c r="CQ7">
        <v>1</v>
      </c>
      <c r="CR7">
        <v>5</v>
      </c>
      <c r="CS7" s="2" t="s">
        <v>214</v>
      </c>
      <c r="CT7">
        <v>7</v>
      </c>
      <c r="CU7">
        <v>11</v>
      </c>
      <c r="CV7" s="2" t="s">
        <v>154</v>
      </c>
      <c r="CW7">
        <v>4</v>
      </c>
      <c r="CX7">
        <v>8</v>
      </c>
      <c r="CY7" s="2" t="s">
        <v>133</v>
      </c>
      <c r="CZ7" s="2" t="s">
        <v>133</v>
      </c>
      <c r="DA7" s="2" t="s">
        <v>133</v>
      </c>
      <c r="DC7" s="2" t="s">
        <v>133</v>
      </c>
      <c r="DD7" s="2" t="s">
        <v>133</v>
      </c>
      <c r="DF7" s="2" t="s">
        <v>133</v>
      </c>
      <c r="DI7" s="2" t="s">
        <v>133</v>
      </c>
      <c r="DL7" s="2" t="s">
        <v>133</v>
      </c>
      <c r="DO7" s="2" t="s">
        <v>133</v>
      </c>
      <c r="DR7" s="2" t="s">
        <v>133</v>
      </c>
      <c r="DU7" s="2" t="s">
        <v>133</v>
      </c>
      <c r="DX7" s="2" t="s">
        <v>133</v>
      </c>
      <c r="EA7" s="2" t="s">
        <v>133</v>
      </c>
      <c r="ED7" t="str">
        <f t="shared" si="0"/>
        <v>L</v>
      </c>
      <c r="EE7">
        <f t="shared" si="1"/>
        <v>-1</v>
      </c>
    </row>
    <row r="8" spans="1:135" x14ac:dyDescent="0.2">
      <c r="A8" s="2" t="s">
        <v>225</v>
      </c>
      <c r="B8" s="1">
        <v>43314.184953703705</v>
      </c>
      <c r="C8">
        <v>65000001</v>
      </c>
      <c r="D8">
        <v>54000024</v>
      </c>
      <c r="E8" s="2" t="s">
        <v>161</v>
      </c>
      <c r="F8">
        <v>72000010</v>
      </c>
      <c r="G8" s="2" t="s">
        <v>227</v>
      </c>
      <c r="H8">
        <v>0</v>
      </c>
      <c r="I8" s="2" t="s">
        <v>134</v>
      </c>
      <c r="J8" s="2" t="s">
        <v>135</v>
      </c>
      <c r="K8" s="2" t="s">
        <v>136</v>
      </c>
      <c r="L8">
        <v>2815</v>
      </c>
      <c r="M8">
        <v>1</v>
      </c>
      <c r="N8" s="2" t="s">
        <v>137</v>
      </c>
      <c r="O8" s="2" t="s">
        <v>138</v>
      </c>
      <c r="P8">
        <v>16000171</v>
      </c>
      <c r="Q8" s="2" t="s">
        <v>170</v>
      </c>
      <c r="R8">
        <v>7</v>
      </c>
      <c r="S8">
        <v>11</v>
      </c>
      <c r="T8" s="2" t="s">
        <v>143</v>
      </c>
      <c r="U8">
        <v>9</v>
      </c>
      <c r="V8">
        <v>13</v>
      </c>
      <c r="W8" s="2" t="s">
        <v>146</v>
      </c>
      <c r="X8">
        <v>9</v>
      </c>
      <c r="Y8">
        <v>13</v>
      </c>
      <c r="Z8" s="2" t="s">
        <v>145</v>
      </c>
      <c r="AA8">
        <v>4</v>
      </c>
      <c r="AB8">
        <v>8</v>
      </c>
      <c r="AC8" s="2" t="s">
        <v>139</v>
      </c>
      <c r="AD8">
        <v>7</v>
      </c>
      <c r="AE8">
        <v>11</v>
      </c>
      <c r="AF8" s="2" t="s">
        <v>141</v>
      </c>
      <c r="AG8">
        <v>4</v>
      </c>
      <c r="AH8">
        <v>8</v>
      </c>
      <c r="AI8" s="2" t="s">
        <v>140</v>
      </c>
      <c r="AJ8">
        <v>9</v>
      </c>
      <c r="AK8">
        <v>13</v>
      </c>
      <c r="AL8" s="2" t="s">
        <v>152</v>
      </c>
      <c r="AM8">
        <v>9</v>
      </c>
      <c r="AN8">
        <v>13</v>
      </c>
      <c r="AO8" s="2" t="s">
        <v>133</v>
      </c>
      <c r="AP8" s="2" t="s">
        <v>133</v>
      </c>
      <c r="AQ8" s="2" t="s">
        <v>133</v>
      </c>
      <c r="AS8" s="2" t="s">
        <v>133</v>
      </c>
      <c r="AT8" s="2" t="s">
        <v>133</v>
      </c>
      <c r="AV8" s="2" t="s">
        <v>133</v>
      </c>
      <c r="AY8" s="2" t="s">
        <v>133</v>
      </c>
      <c r="BB8" s="2" t="s">
        <v>133</v>
      </c>
      <c r="BE8" s="2" t="s">
        <v>133</v>
      </c>
      <c r="BH8" s="2" t="s">
        <v>133</v>
      </c>
      <c r="BK8" s="2" t="s">
        <v>133</v>
      </c>
      <c r="BN8" s="2" t="s">
        <v>133</v>
      </c>
      <c r="BQ8" s="2" t="s">
        <v>133</v>
      </c>
      <c r="BT8" s="2" t="s">
        <v>265</v>
      </c>
      <c r="BU8" s="2" t="s">
        <v>266</v>
      </c>
      <c r="BV8">
        <v>3606</v>
      </c>
      <c r="BW8">
        <v>0</v>
      </c>
      <c r="BX8" s="2" t="s">
        <v>267</v>
      </c>
      <c r="BY8" s="2" t="s">
        <v>268</v>
      </c>
      <c r="BZ8">
        <v>16000112</v>
      </c>
      <c r="CA8" s="2" t="s">
        <v>186</v>
      </c>
      <c r="CB8">
        <v>4</v>
      </c>
      <c r="CC8">
        <v>8</v>
      </c>
      <c r="CD8" s="2" t="s">
        <v>168</v>
      </c>
      <c r="CE8">
        <v>9</v>
      </c>
      <c r="CF8">
        <v>13</v>
      </c>
      <c r="CG8" s="2" t="s">
        <v>147</v>
      </c>
      <c r="CH8">
        <v>7</v>
      </c>
      <c r="CI8">
        <v>11</v>
      </c>
      <c r="CJ8" s="2" t="s">
        <v>148</v>
      </c>
      <c r="CK8">
        <v>7</v>
      </c>
      <c r="CL8">
        <v>11</v>
      </c>
      <c r="CM8" s="2" t="s">
        <v>214</v>
      </c>
      <c r="CN8">
        <v>7</v>
      </c>
      <c r="CO8">
        <v>11</v>
      </c>
      <c r="CP8" s="2" t="s">
        <v>167</v>
      </c>
      <c r="CQ8">
        <v>9</v>
      </c>
      <c r="CR8">
        <v>13</v>
      </c>
      <c r="CS8" s="2" t="s">
        <v>202</v>
      </c>
      <c r="CT8">
        <v>9</v>
      </c>
      <c r="CU8">
        <v>13</v>
      </c>
      <c r="CV8" s="2" t="s">
        <v>218</v>
      </c>
      <c r="CW8">
        <v>4</v>
      </c>
      <c r="CX8">
        <v>8</v>
      </c>
      <c r="CY8" s="2" t="s">
        <v>133</v>
      </c>
      <c r="CZ8" s="2" t="s">
        <v>133</v>
      </c>
      <c r="DA8" s="2" t="s">
        <v>133</v>
      </c>
      <c r="DC8" s="2" t="s">
        <v>133</v>
      </c>
      <c r="DD8" s="2" t="s">
        <v>133</v>
      </c>
      <c r="DF8" s="2" t="s">
        <v>133</v>
      </c>
      <c r="DI8" s="2" t="s">
        <v>133</v>
      </c>
      <c r="DL8" s="2" t="s">
        <v>133</v>
      </c>
      <c r="DO8" s="2" t="s">
        <v>133</v>
      </c>
      <c r="DR8" s="2" t="s">
        <v>133</v>
      </c>
      <c r="DU8" s="2" t="s">
        <v>133</v>
      </c>
      <c r="DX8" s="2" t="s">
        <v>133</v>
      </c>
      <c r="EA8" s="2" t="s">
        <v>133</v>
      </c>
      <c r="ED8" t="str">
        <f t="shared" si="0"/>
        <v>W</v>
      </c>
      <c r="EE8">
        <f t="shared" si="1"/>
        <v>1</v>
      </c>
    </row>
    <row r="9" spans="1:135" x14ac:dyDescent="0.2">
      <c r="A9" s="2" t="s">
        <v>225</v>
      </c>
      <c r="B9" s="1">
        <v>43314.180694444447</v>
      </c>
      <c r="C9">
        <v>65000001</v>
      </c>
      <c r="D9">
        <v>54000001</v>
      </c>
      <c r="E9" s="2" t="s">
        <v>228</v>
      </c>
      <c r="F9">
        <v>72000010</v>
      </c>
      <c r="G9" s="2" t="s">
        <v>227</v>
      </c>
      <c r="H9">
        <v>0</v>
      </c>
      <c r="I9" s="2" t="s">
        <v>134</v>
      </c>
      <c r="J9" s="2" t="s">
        <v>135</v>
      </c>
      <c r="K9" s="2" t="s">
        <v>136</v>
      </c>
      <c r="L9">
        <v>2815</v>
      </c>
      <c r="M9">
        <v>0</v>
      </c>
      <c r="N9" s="2" t="s">
        <v>137</v>
      </c>
      <c r="O9" s="2" t="s">
        <v>138</v>
      </c>
      <c r="P9">
        <v>16000171</v>
      </c>
      <c r="Q9" s="2" t="s">
        <v>170</v>
      </c>
      <c r="R9">
        <v>7</v>
      </c>
      <c r="S9">
        <v>11</v>
      </c>
      <c r="T9" s="2" t="s">
        <v>143</v>
      </c>
      <c r="U9">
        <v>9</v>
      </c>
      <c r="V9">
        <v>13</v>
      </c>
      <c r="W9" s="2" t="s">
        <v>146</v>
      </c>
      <c r="X9">
        <v>9</v>
      </c>
      <c r="Y9">
        <v>13</v>
      </c>
      <c r="Z9" s="2" t="s">
        <v>145</v>
      </c>
      <c r="AA9">
        <v>4</v>
      </c>
      <c r="AB9">
        <v>8</v>
      </c>
      <c r="AC9" s="2" t="s">
        <v>139</v>
      </c>
      <c r="AD9">
        <v>7</v>
      </c>
      <c r="AE9">
        <v>11</v>
      </c>
      <c r="AF9" s="2" t="s">
        <v>141</v>
      </c>
      <c r="AG9">
        <v>4</v>
      </c>
      <c r="AH9">
        <v>8</v>
      </c>
      <c r="AI9" s="2" t="s">
        <v>140</v>
      </c>
      <c r="AJ9">
        <v>9</v>
      </c>
      <c r="AK9">
        <v>13</v>
      </c>
      <c r="AL9" s="2" t="s">
        <v>152</v>
      </c>
      <c r="AM9">
        <v>9</v>
      </c>
      <c r="AN9">
        <v>13</v>
      </c>
      <c r="AO9" s="2" t="s">
        <v>133</v>
      </c>
      <c r="AP9" s="2" t="s">
        <v>133</v>
      </c>
      <c r="AQ9" s="2" t="s">
        <v>133</v>
      </c>
      <c r="AS9" s="2" t="s">
        <v>133</v>
      </c>
      <c r="AT9" s="2" t="s">
        <v>133</v>
      </c>
      <c r="AV9" s="2" t="s">
        <v>133</v>
      </c>
      <c r="AY9" s="2" t="s">
        <v>133</v>
      </c>
      <c r="BB9" s="2" t="s">
        <v>133</v>
      </c>
      <c r="BE9" s="2" t="s">
        <v>133</v>
      </c>
      <c r="BH9" s="2" t="s">
        <v>133</v>
      </c>
      <c r="BK9" s="2" t="s">
        <v>133</v>
      </c>
      <c r="BN9" s="2" t="s">
        <v>133</v>
      </c>
      <c r="BQ9" s="2" t="s">
        <v>133</v>
      </c>
      <c r="BT9" s="2" t="s">
        <v>269</v>
      </c>
      <c r="BU9" s="2" t="s">
        <v>270</v>
      </c>
      <c r="BV9">
        <v>4305</v>
      </c>
      <c r="BW9">
        <v>1</v>
      </c>
      <c r="BX9" s="2" t="s">
        <v>271</v>
      </c>
      <c r="BY9" s="2" t="s">
        <v>272</v>
      </c>
      <c r="BZ9">
        <v>16000044</v>
      </c>
      <c r="CA9" s="2" t="s">
        <v>191</v>
      </c>
      <c r="CB9">
        <v>9</v>
      </c>
      <c r="CC9">
        <v>13</v>
      </c>
      <c r="CD9" s="2" t="s">
        <v>177</v>
      </c>
      <c r="CE9">
        <v>7</v>
      </c>
      <c r="CF9">
        <v>11</v>
      </c>
      <c r="CG9" s="2" t="s">
        <v>165</v>
      </c>
      <c r="CH9">
        <v>9</v>
      </c>
      <c r="CI9">
        <v>13</v>
      </c>
      <c r="CJ9" s="2" t="s">
        <v>178</v>
      </c>
      <c r="CK9">
        <v>4</v>
      </c>
      <c r="CL9">
        <v>8</v>
      </c>
      <c r="CM9" s="2" t="s">
        <v>173</v>
      </c>
      <c r="CN9">
        <v>4</v>
      </c>
      <c r="CO9">
        <v>8</v>
      </c>
      <c r="CP9" s="2" t="s">
        <v>175</v>
      </c>
      <c r="CQ9">
        <v>1</v>
      </c>
      <c r="CR9">
        <v>5</v>
      </c>
      <c r="CS9" s="2" t="s">
        <v>151</v>
      </c>
      <c r="CT9">
        <v>1</v>
      </c>
      <c r="CU9">
        <v>5</v>
      </c>
      <c r="CV9" s="2" t="s">
        <v>153</v>
      </c>
      <c r="CW9">
        <v>1</v>
      </c>
      <c r="CX9">
        <v>5</v>
      </c>
      <c r="CY9" s="2" t="s">
        <v>133</v>
      </c>
      <c r="CZ9" s="2" t="s">
        <v>133</v>
      </c>
      <c r="DA9" s="2" t="s">
        <v>133</v>
      </c>
      <c r="DC9" s="2" t="s">
        <v>133</v>
      </c>
      <c r="DD9" s="2" t="s">
        <v>133</v>
      </c>
      <c r="DF9" s="2" t="s">
        <v>133</v>
      </c>
      <c r="DI9" s="2" t="s">
        <v>133</v>
      </c>
      <c r="DL9" s="2" t="s">
        <v>133</v>
      </c>
      <c r="DO9" s="2" t="s">
        <v>133</v>
      </c>
      <c r="DR9" s="2" t="s">
        <v>133</v>
      </c>
      <c r="DU9" s="2" t="s">
        <v>133</v>
      </c>
      <c r="DX9" s="2" t="s">
        <v>133</v>
      </c>
      <c r="EA9" s="2" t="s">
        <v>133</v>
      </c>
      <c r="ED9" t="str">
        <f t="shared" si="0"/>
        <v>L</v>
      </c>
      <c r="EE9">
        <f t="shared" si="1"/>
        <v>-1</v>
      </c>
    </row>
    <row r="10" spans="1:135" x14ac:dyDescent="0.2">
      <c r="A10" s="2" t="s">
        <v>225</v>
      </c>
      <c r="B10" s="1">
        <v>43314.176342592589</v>
      </c>
      <c r="C10">
        <v>65000001</v>
      </c>
      <c r="D10">
        <v>54000014</v>
      </c>
      <c r="E10" s="2" t="s">
        <v>240</v>
      </c>
      <c r="F10">
        <v>72000010</v>
      </c>
      <c r="G10" s="2" t="s">
        <v>227</v>
      </c>
      <c r="H10">
        <v>0</v>
      </c>
      <c r="I10" s="2" t="s">
        <v>134</v>
      </c>
      <c r="J10" s="2" t="s">
        <v>135</v>
      </c>
      <c r="K10" s="2" t="s">
        <v>136</v>
      </c>
      <c r="L10">
        <v>2815</v>
      </c>
      <c r="M10">
        <v>0</v>
      </c>
      <c r="N10" s="2" t="s">
        <v>137</v>
      </c>
      <c r="O10" s="2" t="s">
        <v>138</v>
      </c>
      <c r="P10">
        <v>16000171</v>
      </c>
      <c r="Q10" s="2" t="s">
        <v>170</v>
      </c>
      <c r="R10">
        <v>7</v>
      </c>
      <c r="S10">
        <v>11</v>
      </c>
      <c r="T10" s="2" t="s">
        <v>143</v>
      </c>
      <c r="U10">
        <v>9</v>
      </c>
      <c r="V10">
        <v>13</v>
      </c>
      <c r="W10" s="2" t="s">
        <v>146</v>
      </c>
      <c r="X10">
        <v>9</v>
      </c>
      <c r="Y10">
        <v>13</v>
      </c>
      <c r="Z10" s="2" t="s">
        <v>145</v>
      </c>
      <c r="AA10">
        <v>4</v>
      </c>
      <c r="AB10">
        <v>8</v>
      </c>
      <c r="AC10" s="2" t="s">
        <v>139</v>
      </c>
      <c r="AD10">
        <v>7</v>
      </c>
      <c r="AE10">
        <v>11</v>
      </c>
      <c r="AF10" s="2" t="s">
        <v>141</v>
      </c>
      <c r="AG10">
        <v>4</v>
      </c>
      <c r="AH10">
        <v>8</v>
      </c>
      <c r="AI10" s="2" t="s">
        <v>140</v>
      </c>
      <c r="AJ10">
        <v>9</v>
      </c>
      <c r="AK10">
        <v>13</v>
      </c>
      <c r="AL10" s="2" t="s">
        <v>152</v>
      </c>
      <c r="AM10">
        <v>9</v>
      </c>
      <c r="AN10">
        <v>13</v>
      </c>
      <c r="AO10" s="2" t="s">
        <v>133</v>
      </c>
      <c r="AP10" s="2" t="s">
        <v>133</v>
      </c>
      <c r="AQ10" s="2" t="s">
        <v>133</v>
      </c>
      <c r="AS10" s="2" t="s">
        <v>133</v>
      </c>
      <c r="AT10" s="2" t="s">
        <v>133</v>
      </c>
      <c r="AV10" s="2" t="s">
        <v>133</v>
      </c>
      <c r="AY10" s="2" t="s">
        <v>133</v>
      </c>
      <c r="BB10" s="2" t="s">
        <v>133</v>
      </c>
      <c r="BE10" s="2" t="s">
        <v>133</v>
      </c>
      <c r="BH10" s="2" t="s">
        <v>133</v>
      </c>
      <c r="BK10" s="2" t="s">
        <v>133</v>
      </c>
      <c r="BN10" s="2" t="s">
        <v>133</v>
      </c>
      <c r="BQ10" s="2" t="s">
        <v>133</v>
      </c>
      <c r="BT10" s="2" t="s">
        <v>273</v>
      </c>
      <c r="BU10" s="2" t="s">
        <v>274</v>
      </c>
      <c r="BV10">
        <v>4862</v>
      </c>
      <c r="BW10">
        <v>1</v>
      </c>
      <c r="BX10" s="2" t="s">
        <v>275</v>
      </c>
      <c r="BY10" s="2" t="s">
        <v>276</v>
      </c>
      <c r="BZ10">
        <v>16000096</v>
      </c>
      <c r="CA10" s="2" t="s">
        <v>189</v>
      </c>
      <c r="CB10">
        <v>7</v>
      </c>
      <c r="CC10">
        <v>11</v>
      </c>
      <c r="CD10" s="2" t="s">
        <v>209</v>
      </c>
      <c r="CE10">
        <v>9</v>
      </c>
      <c r="CF10">
        <v>13</v>
      </c>
      <c r="CG10" s="2" t="s">
        <v>139</v>
      </c>
      <c r="CH10">
        <v>7</v>
      </c>
      <c r="CI10">
        <v>11</v>
      </c>
      <c r="CJ10" s="2" t="s">
        <v>146</v>
      </c>
      <c r="CK10">
        <v>9</v>
      </c>
      <c r="CL10">
        <v>13</v>
      </c>
      <c r="CM10" s="2" t="s">
        <v>213</v>
      </c>
      <c r="CN10">
        <v>7</v>
      </c>
      <c r="CO10">
        <v>11</v>
      </c>
      <c r="CP10" s="2" t="s">
        <v>162</v>
      </c>
      <c r="CQ10">
        <v>7</v>
      </c>
      <c r="CR10">
        <v>11</v>
      </c>
      <c r="CS10" s="2" t="s">
        <v>142</v>
      </c>
      <c r="CT10">
        <v>9</v>
      </c>
      <c r="CU10">
        <v>13</v>
      </c>
      <c r="CV10" s="2" t="s">
        <v>157</v>
      </c>
      <c r="CW10">
        <v>7</v>
      </c>
      <c r="CX10">
        <v>11</v>
      </c>
      <c r="CY10" s="2" t="s">
        <v>133</v>
      </c>
      <c r="CZ10" s="2" t="s">
        <v>133</v>
      </c>
      <c r="DA10" s="2" t="s">
        <v>133</v>
      </c>
      <c r="DC10" s="2" t="s">
        <v>133</v>
      </c>
      <c r="DD10" s="2" t="s">
        <v>133</v>
      </c>
      <c r="DF10" s="2" t="s">
        <v>133</v>
      </c>
      <c r="DI10" s="2" t="s">
        <v>133</v>
      </c>
      <c r="DL10" s="2" t="s">
        <v>133</v>
      </c>
      <c r="DO10" s="2" t="s">
        <v>133</v>
      </c>
      <c r="DR10" s="2" t="s">
        <v>133</v>
      </c>
      <c r="DU10" s="2" t="s">
        <v>133</v>
      </c>
      <c r="DX10" s="2" t="s">
        <v>133</v>
      </c>
      <c r="EA10" s="2" t="s">
        <v>133</v>
      </c>
      <c r="ED10" t="str">
        <f t="shared" si="0"/>
        <v>L</v>
      </c>
      <c r="EE10">
        <f t="shared" si="1"/>
        <v>-1</v>
      </c>
    </row>
    <row r="11" spans="1:135" x14ac:dyDescent="0.2">
      <c r="A11" s="2" t="s">
        <v>225</v>
      </c>
      <c r="B11" s="1">
        <v>43314.173518518517</v>
      </c>
      <c r="C11">
        <v>65000001</v>
      </c>
      <c r="D11">
        <v>54000008</v>
      </c>
      <c r="E11" s="2" t="s">
        <v>207</v>
      </c>
      <c r="F11">
        <v>72000010</v>
      </c>
      <c r="G11" s="2" t="s">
        <v>227</v>
      </c>
      <c r="H11">
        <v>0</v>
      </c>
      <c r="I11" s="2" t="s">
        <v>134</v>
      </c>
      <c r="J11" s="2" t="s">
        <v>135</v>
      </c>
      <c r="K11" s="2" t="s">
        <v>136</v>
      </c>
      <c r="L11">
        <v>2815</v>
      </c>
      <c r="M11">
        <v>0</v>
      </c>
      <c r="N11" s="2" t="s">
        <v>137</v>
      </c>
      <c r="O11" s="2" t="s">
        <v>138</v>
      </c>
      <c r="P11">
        <v>16000171</v>
      </c>
      <c r="Q11" s="2" t="s">
        <v>170</v>
      </c>
      <c r="R11">
        <v>7</v>
      </c>
      <c r="S11">
        <v>11</v>
      </c>
      <c r="T11" s="2" t="s">
        <v>143</v>
      </c>
      <c r="U11">
        <v>9</v>
      </c>
      <c r="V11">
        <v>13</v>
      </c>
      <c r="W11" s="2" t="s">
        <v>146</v>
      </c>
      <c r="X11">
        <v>9</v>
      </c>
      <c r="Y11">
        <v>13</v>
      </c>
      <c r="Z11" s="2" t="s">
        <v>145</v>
      </c>
      <c r="AA11">
        <v>4</v>
      </c>
      <c r="AB11">
        <v>8</v>
      </c>
      <c r="AC11" s="2" t="s">
        <v>139</v>
      </c>
      <c r="AD11">
        <v>7</v>
      </c>
      <c r="AE11">
        <v>11</v>
      </c>
      <c r="AF11" s="2" t="s">
        <v>141</v>
      </c>
      <c r="AG11">
        <v>4</v>
      </c>
      <c r="AH11">
        <v>8</v>
      </c>
      <c r="AI11" s="2" t="s">
        <v>140</v>
      </c>
      <c r="AJ11">
        <v>9</v>
      </c>
      <c r="AK11">
        <v>13</v>
      </c>
      <c r="AL11" s="2" t="s">
        <v>152</v>
      </c>
      <c r="AM11">
        <v>9</v>
      </c>
      <c r="AN11">
        <v>13</v>
      </c>
      <c r="AO11" s="2" t="s">
        <v>133</v>
      </c>
      <c r="AP11" s="2" t="s">
        <v>133</v>
      </c>
      <c r="AQ11" s="2" t="s">
        <v>133</v>
      </c>
      <c r="AS11" s="2" t="s">
        <v>133</v>
      </c>
      <c r="AT11" s="2" t="s">
        <v>133</v>
      </c>
      <c r="AV11" s="2" t="s">
        <v>133</v>
      </c>
      <c r="AY11" s="2" t="s">
        <v>133</v>
      </c>
      <c r="BB11" s="2" t="s">
        <v>133</v>
      </c>
      <c r="BE11" s="2" t="s">
        <v>133</v>
      </c>
      <c r="BH11" s="2" t="s">
        <v>133</v>
      </c>
      <c r="BK11" s="2" t="s">
        <v>133</v>
      </c>
      <c r="BN11" s="2" t="s">
        <v>133</v>
      </c>
      <c r="BQ11" s="2" t="s">
        <v>133</v>
      </c>
      <c r="BT11" s="2" t="s">
        <v>277</v>
      </c>
      <c r="BU11" s="2" t="s">
        <v>278</v>
      </c>
      <c r="BV11">
        <v>4011</v>
      </c>
      <c r="BW11">
        <v>3</v>
      </c>
      <c r="BX11" s="2" t="s">
        <v>279</v>
      </c>
      <c r="BY11" s="2" t="s">
        <v>280</v>
      </c>
      <c r="BZ11">
        <v>16000093</v>
      </c>
      <c r="CA11" s="2" t="s">
        <v>198</v>
      </c>
      <c r="CB11">
        <v>4</v>
      </c>
      <c r="CC11">
        <v>8</v>
      </c>
      <c r="CD11" s="2" t="s">
        <v>183</v>
      </c>
      <c r="CE11">
        <v>1</v>
      </c>
      <c r="CF11">
        <v>5</v>
      </c>
      <c r="CG11" s="2" t="s">
        <v>166</v>
      </c>
      <c r="CH11">
        <v>1</v>
      </c>
      <c r="CI11">
        <v>5</v>
      </c>
      <c r="CJ11" s="2" t="s">
        <v>204</v>
      </c>
      <c r="CK11">
        <v>4</v>
      </c>
      <c r="CL11">
        <v>8</v>
      </c>
      <c r="CM11" s="2" t="s">
        <v>153</v>
      </c>
      <c r="CN11">
        <v>1</v>
      </c>
      <c r="CO11">
        <v>5</v>
      </c>
      <c r="CP11" s="2" t="s">
        <v>154</v>
      </c>
      <c r="CQ11">
        <v>4</v>
      </c>
      <c r="CR11">
        <v>8</v>
      </c>
      <c r="CS11" s="2" t="s">
        <v>173</v>
      </c>
      <c r="CT11">
        <v>4</v>
      </c>
      <c r="CU11">
        <v>8</v>
      </c>
      <c r="CV11" s="2" t="s">
        <v>148</v>
      </c>
      <c r="CW11">
        <v>7</v>
      </c>
      <c r="CX11">
        <v>11</v>
      </c>
      <c r="CY11" s="2" t="s">
        <v>133</v>
      </c>
      <c r="CZ11" s="2" t="s">
        <v>133</v>
      </c>
      <c r="DA11" s="2" t="s">
        <v>133</v>
      </c>
      <c r="DC11" s="2" t="s">
        <v>133</v>
      </c>
      <c r="DD11" s="2" t="s">
        <v>133</v>
      </c>
      <c r="DF11" s="2" t="s">
        <v>133</v>
      </c>
      <c r="DI11" s="2" t="s">
        <v>133</v>
      </c>
      <c r="DL11" s="2" t="s">
        <v>133</v>
      </c>
      <c r="DO11" s="2" t="s">
        <v>133</v>
      </c>
      <c r="DR11" s="2" t="s">
        <v>133</v>
      </c>
      <c r="DU11" s="2" t="s">
        <v>133</v>
      </c>
      <c r="DX11" s="2" t="s">
        <v>133</v>
      </c>
      <c r="EA11" s="2" t="s">
        <v>133</v>
      </c>
      <c r="ED11" t="str">
        <f t="shared" si="0"/>
        <v>L</v>
      </c>
      <c r="EE11">
        <f t="shared" si="1"/>
        <v>-3</v>
      </c>
    </row>
    <row r="12" spans="1:135" x14ac:dyDescent="0.2">
      <c r="A12" s="2" t="s">
        <v>225</v>
      </c>
      <c r="B12" s="1">
        <v>43314.17015046296</v>
      </c>
      <c r="C12">
        <v>65000001</v>
      </c>
      <c r="D12">
        <v>54000013</v>
      </c>
      <c r="E12" s="2" t="s">
        <v>241</v>
      </c>
      <c r="F12">
        <v>72000010</v>
      </c>
      <c r="G12" s="2" t="s">
        <v>227</v>
      </c>
      <c r="H12">
        <v>0</v>
      </c>
      <c r="I12" s="2" t="s">
        <v>134</v>
      </c>
      <c r="J12" s="2" t="s">
        <v>135</v>
      </c>
      <c r="K12" s="2" t="s">
        <v>136</v>
      </c>
      <c r="L12">
        <v>2815</v>
      </c>
      <c r="M12">
        <v>0</v>
      </c>
      <c r="N12" s="2" t="s">
        <v>137</v>
      </c>
      <c r="O12" s="2" t="s">
        <v>138</v>
      </c>
      <c r="P12">
        <v>16000171</v>
      </c>
      <c r="Q12" s="2" t="s">
        <v>149</v>
      </c>
      <c r="R12">
        <v>7</v>
      </c>
      <c r="S12">
        <v>11</v>
      </c>
      <c r="T12" s="2" t="s">
        <v>142</v>
      </c>
      <c r="U12">
        <v>9</v>
      </c>
      <c r="V12">
        <v>13</v>
      </c>
      <c r="W12" s="2" t="s">
        <v>165</v>
      </c>
      <c r="X12">
        <v>8</v>
      </c>
      <c r="Y12">
        <v>13</v>
      </c>
      <c r="Z12" s="2" t="s">
        <v>146</v>
      </c>
      <c r="AA12">
        <v>9</v>
      </c>
      <c r="AB12">
        <v>13</v>
      </c>
      <c r="AC12" s="2" t="s">
        <v>145</v>
      </c>
      <c r="AD12">
        <v>4</v>
      </c>
      <c r="AE12">
        <v>8</v>
      </c>
      <c r="AF12" s="2" t="s">
        <v>222</v>
      </c>
      <c r="AG12">
        <v>9</v>
      </c>
      <c r="AH12">
        <v>13</v>
      </c>
      <c r="AI12" s="2" t="s">
        <v>170</v>
      </c>
      <c r="AJ12">
        <v>7</v>
      </c>
      <c r="AK12">
        <v>11</v>
      </c>
      <c r="AL12" s="2" t="s">
        <v>197</v>
      </c>
      <c r="AM12">
        <v>8</v>
      </c>
      <c r="AN12">
        <v>13</v>
      </c>
      <c r="AO12" s="2" t="s">
        <v>133</v>
      </c>
      <c r="AP12" s="2" t="s">
        <v>133</v>
      </c>
      <c r="AQ12" s="2" t="s">
        <v>133</v>
      </c>
      <c r="AS12" s="2" t="s">
        <v>133</v>
      </c>
      <c r="AT12" s="2" t="s">
        <v>133</v>
      </c>
      <c r="AV12" s="2" t="s">
        <v>133</v>
      </c>
      <c r="AY12" s="2" t="s">
        <v>133</v>
      </c>
      <c r="BB12" s="2" t="s">
        <v>133</v>
      </c>
      <c r="BE12" s="2" t="s">
        <v>133</v>
      </c>
      <c r="BH12" s="2" t="s">
        <v>133</v>
      </c>
      <c r="BK12" s="2" t="s">
        <v>133</v>
      </c>
      <c r="BN12" s="2" t="s">
        <v>133</v>
      </c>
      <c r="BQ12" s="2" t="s">
        <v>133</v>
      </c>
      <c r="BT12" s="2" t="s">
        <v>281</v>
      </c>
      <c r="BU12" s="2" t="s">
        <v>282</v>
      </c>
      <c r="BV12">
        <v>4969</v>
      </c>
      <c r="BW12">
        <v>2</v>
      </c>
      <c r="BX12" s="2" t="s">
        <v>283</v>
      </c>
      <c r="BY12" s="2" t="s">
        <v>284</v>
      </c>
      <c r="BZ12">
        <v>16000058</v>
      </c>
      <c r="CA12" s="2" t="s">
        <v>148</v>
      </c>
      <c r="CB12">
        <v>7</v>
      </c>
      <c r="CC12">
        <v>11</v>
      </c>
      <c r="CD12" s="2" t="s">
        <v>172</v>
      </c>
      <c r="CE12">
        <v>9</v>
      </c>
      <c r="CF12">
        <v>13</v>
      </c>
      <c r="CG12" s="2" t="s">
        <v>175</v>
      </c>
      <c r="CH12">
        <v>1</v>
      </c>
      <c r="CI12">
        <v>5</v>
      </c>
      <c r="CJ12" s="2" t="s">
        <v>178</v>
      </c>
      <c r="CK12">
        <v>4</v>
      </c>
      <c r="CL12">
        <v>8</v>
      </c>
      <c r="CM12" s="2" t="s">
        <v>165</v>
      </c>
      <c r="CN12">
        <v>9</v>
      </c>
      <c r="CO12">
        <v>13</v>
      </c>
      <c r="CP12" s="2" t="s">
        <v>177</v>
      </c>
      <c r="CQ12">
        <v>7</v>
      </c>
      <c r="CR12">
        <v>11</v>
      </c>
      <c r="CS12" s="2" t="s">
        <v>151</v>
      </c>
      <c r="CT12">
        <v>1</v>
      </c>
      <c r="CU12">
        <v>5</v>
      </c>
      <c r="CV12" s="2" t="s">
        <v>144</v>
      </c>
      <c r="CW12">
        <v>9</v>
      </c>
      <c r="CX12">
        <v>13</v>
      </c>
      <c r="CY12" s="2" t="s">
        <v>133</v>
      </c>
      <c r="CZ12" s="2" t="s">
        <v>133</v>
      </c>
      <c r="DA12" s="2" t="s">
        <v>133</v>
      </c>
      <c r="DC12" s="2" t="s">
        <v>133</v>
      </c>
      <c r="DD12" s="2" t="s">
        <v>133</v>
      </c>
      <c r="DF12" s="2" t="s">
        <v>133</v>
      </c>
      <c r="DI12" s="2" t="s">
        <v>133</v>
      </c>
      <c r="DL12" s="2" t="s">
        <v>133</v>
      </c>
      <c r="DO12" s="2" t="s">
        <v>133</v>
      </c>
      <c r="DR12" s="2" t="s">
        <v>133</v>
      </c>
      <c r="DU12" s="2" t="s">
        <v>133</v>
      </c>
      <c r="DX12" s="2" t="s">
        <v>133</v>
      </c>
      <c r="EA12" s="2" t="s">
        <v>133</v>
      </c>
      <c r="ED12" t="str">
        <f t="shared" si="0"/>
        <v>L</v>
      </c>
      <c r="EE12">
        <f t="shared" si="1"/>
        <v>-2</v>
      </c>
    </row>
    <row r="13" spans="1:135" x14ac:dyDescent="0.2">
      <c r="A13" s="2" t="s">
        <v>285</v>
      </c>
      <c r="B13" s="1">
        <v>43314.151307870372</v>
      </c>
      <c r="D13">
        <v>54000002</v>
      </c>
      <c r="E13" s="2" t="s">
        <v>185</v>
      </c>
      <c r="F13">
        <v>72000023</v>
      </c>
      <c r="G13" s="2" t="s">
        <v>286</v>
      </c>
      <c r="I13" s="2" t="s">
        <v>134</v>
      </c>
      <c r="J13" s="2" t="s">
        <v>287</v>
      </c>
      <c r="K13" s="2" t="s">
        <v>288</v>
      </c>
      <c r="M13">
        <v>1</v>
      </c>
      <c r="N13" s="2" t="s">
        <v>289</v>
      </c>
      <c r="O13" s="2" t="s">
        <v>290</v>
      </c>
      <c r="P13">
        <v>16000000</v>
      </c>
      <c r="Q13" s="2" t="s">
        <v>148</v>
      </c>
      <c r="R13">
        <v>6</v>
      </c>
      <c r="S13">
        <v>11</v>
      </c>
      <c r="T13" s="2" t="s">
        <v>179</v>
      </c>
      <c r="U13">
        <v>3</v>
      </c>
      <c r="V13">
        <v>8</v>
      </c>
      <c r="W13" s="2" t="s">
        <v>152</v>
      </c>
      <c r="X13">
        <v>9</v>
      </c>
      <c r="Y13">
        <v>13</v>
      </c>
      <c r="Z13" s="2" t="s">
        <v>224</v>
      </c>
      <c r="AA13">
        <v>7</v>
      </c>
      <c r="AB13">
        <v>11</v>
      </c>
      <c r="AC13" s="2" t="s">
        <v>154</v>
      </c>
      <c r="AD13">
        <v>3</v>
      </c>
      <c r="AE13">
        <v>8</v>
      </c>
      <c r="AF13" s="2" t="s">
        <v>156</v>
      </c>
      <c r="AG13">
        <v>7</v>
      </c>
      <c r="AH13">
        <v>11</v>
      </c>
      <c r="AI13" s="2" t="s">
        <v>147</v>
      </c>
      <c r="AJ13">
        <v>7</v>
      </c>
      <c r="AK13">
        <v>11</v>
      </c>
      <c r="AL13" s="2" t="s">
        <v>188</v>
      </c>
      <c r="AM13">
        <v>4</v>
      </c>
      <c r="AN13">
        <v>8</v>
      </c>
      <c r="AO13" s="2" t="s">
        <v>135</v>
      </c>
      <c r="AP13" s="2" t="s">
        <v>136</v>
      </c>
      <c r="AQ13" s="2" t="s">
        <v>133</v>
      </c>
      <c r="AR13">
        <v>1</v>
      </c>
      <c r="AS13" s="2" t="s">
        <v>137</v>
      </c>
      <c r="AT13" s="2" t="s">
        <v>138</v>
      </c>
      <c r="AU13">
        <v>16000171</v>
      </c>
      <c r="AV13" s="2" t="s">
        <v>149</v>
      </c>
      <c r="AW13">
        <v>7</v>
      </c>
      <c r="AX13">
        <v>11</v>
      </c>
      <c r="AY13" s="2" t="s">
        <v>142</v>
      </c>
      <c r="AZ13">
        <v>9</v>
      </c>
      <c r="BA13">
        <v>13</v>
      </c>
      <c r="BB13" s="2" t="s">
        <v>165</v>
      </c>
      <c r="BC13">
        <v>8</v>
      </c>
      <c r="BD13">
        <v>13</v>
      </c>
      <c r="BE13" s="2" t="s">
        <v>146</v>
      </c>
      <c r="BF13">
        <v>10</v>
      </c>
      <c r="BG13">
        <v>13</v>
      </c>
      <c r="BH13" s="2" t="s">
        <v>145</v>
      </c>
      <c r="BI13">
        <v>4</v>
      </c>
      <c r="BJ13">
        <v>8</v>
      </c>
      <c r="BK13" s="2" t="s">
        <v>222</v>
      </c>
      <c r="BL13">
        <v>9</v>
      </c>
      <c r="BM13">
        <v>13</v>
      </c>
      <c r="BN13" s="2" t="s">
        <v>170</v>
      </c>
      <c r="BO13">
        <v>7</v>
      </c>
      <c r="BP13">
        <v>11</v>
      </c>
      <c r="BQ13" s="2" t="s">
        <v>197</v>
      </c>
      <c r="BR13">
        <v>8</v>
      </c>
      <c r="BS13">
        <v>13</v>
      </c>
      <c r="BT13" s="2" t="s">
        <v>291</v>
      </c>
      <c r="BU13" s="2" t="s">
        <v>292</v>
      </c>
      <c r="BW13">
        <v>0</v>
      </c>
      <c r="BX13" s="2" t="s">
        <v>293</v>
      </c>
      <c r="BY13" s="2" t="s">
        <v>294</v>
      </c>
      <c r="BZ13">
        <v>16000170</v>
      </c>
      <c r="CA13" s="2" t="s">
        <v>148</v>
      </c>
      <c r="CB13">
        <v>6</v>
      </c>
      <c r="CC13">
        <v>11</v>
      </c>
      <c r="CD13" s="2" t="s">
        <v>208</v>
      </c>
      <c r="CE13">
        <v>3</v>
      </c>
      <c r="CF13">
        <v>8</v>
      </c>
      <c r="CG13" s="2" t="s">
        <v>159</v>
      </c>
      <c r="CH13">
        <v>4</v>
      </c>
      <c r="CI13">
        <v>8</v>
      </c>
      <c r="CJ13" s="2" t="s">
        <v>180</v>
      </c>
      <c r="CK13">
        <v>8</v>
      </c>
      <c r="CL13">
        <v>13</v>
      </c>
      <c r="CM13" s="2" t="s">
        <v>205</v>
      </c>
      <c r="CN13">
        <v>3</v>
      </c>
      <c r="CO13">
        <v>8</v>
      </c>
      <c r="CP13" s="2" t="s">
        <v>201</v>
      </c>
      <c r="CQ13">
        <v>7</v>
      </c>
      <c r="CR13">
        <v>11</v>
      </c>
      <c r="CS13" s="2" t="s">
        <v>188</v>
      </c>
      <c r="CT13">
        <v>3</v>
      </c>
      <c r="CU13">
        <v>8</v>
      </c>
      <c r="CV13" s="2" t="s">
        <v>204</v>
      </c>
      <c r="CW13">
        <v>3</v>
      </c>
      <c r="CX13">
        <v>8</v>
      </c>
      <c r="CY13" s="2" t="s">
        <v>295</v>
      </c>
      <c r="CZ13" s="2" t="s">
        <v>296</v>
      </c>
      <c r="DA13" s="2" t="s">
        <v>133</v>
      </c>
      <c r="DB13">
        <v>0</v>
      </c>
      <c r="DC13" s="2" t="s">
        <v>297</v>
      </c>
      <c r="DD13" s="2" t="s">
        <v>298</v>
      </c>
      <c r="DE13">
        <v>16000024</v>
      </c>
      <c r="DF13" s="2" t="s">
        <v>148</v>
      </c>
      <c r="DG13">
        <v>7</v>
      </c>
      <c r="DH13">
        <v>11</v>
      </c>
      <c r="DI13" s="2" t="s">
        <v>147</v>
      </c>
      <c r="DJ13">
        <v>7</v>
      </c>
      <c r="DK13">
        <v>11</v>
      </c>
      <c r="DL13" s="2" t="s">
        <v>167</v>
      </c>
      <c r="DM13">
        <v>10</v>
      </c>
      <c r="DN13">
        <v>13</v>
      </c>
      <c r="DO13" s="2" t="s">
        <v>199</v>
      </c>
      <c r="DP13">
        <v>2</v>
      </c>
      <c r="DQ13">
        <v>5</v>
      </c>
      <c r="DR13" s="2" t="s">
        <v>188</v>
      </c>
      <c r="DS13">
        <v>5</v>
      </c>
      <c r="DT13">
        <v>8</v>
      </c>
      <c r="DU13" s="2" t="s">
        <v>204</v>
      </c>
      <c r="DV13">
        <v>5</v>
      </c>
      <c r="DW13">
        <v>8</v>
      </c>
      <c r="DX13" s="2" t="s">
        <v>162</v>
      </c>
      <c r="DY13">
        <v>8</v>
      </c>
      <c r="DZ13">
        <v>11</v>
      </c>
      <c r="EA13" s="2" t="s">
        <v>149</v>
      </c>
      <c r="EB13">
        <v>7</v>
      </c>
      <c r="EC13">
        <v>11</v>
      </c>
      <c r="ED13" t="str">
        <f t="shared" si="0"/>
        <v>W</v>
      </c>
      <c r="EE13">
        <f t="shared" si="1"/>
        <v>1</v>
      </c>
    </row>
    <row r="14" spans="1:135" x14ac:dyDescent="0.2">
      <c r="A14" s="2" t="s">
        <v>285</v>
      </c>
      <c r="B14" s="1">
        <v>43314.059641203705</v>
      </c>
      <c r="D14">
        <v>54000005</v>
      </c>
      <c r="E14" s="2" t="s">
        <v>229</v>
      </c>
      <c r="F14">
        <v>72000023</v>
      </c>
      <c r="G14" s="2" t="s">
        <v>286</v>
      </c>
      <c r="I14" s="2" t="s">
        <v>134</v>
      </c>
      <c r="J14" s="2" t="s">
        <v>299</v>
      </c>
      <c r="K14" s="2" t="s">
        <v>300</v>
      </c>
      <c r="M14">
        <v>1</v>
      </c>
      <c r="N14" s="2" t="s">
        <v>301</v>
      </c>
      <c r="O14" s="2" t="s">
        <v>302</v>
      </c>
      <c r="P14">
        <v>16000146</v>
      </c>
      <c r="Q14" s="2" t="s">
        <v>159</v>
      </c>
      <c r="R14">
        <v>4</v>
      </c>
      <c r="S14">
        <v>8</v>
      </c>
      <c r="T14" s="2" t="s">
        <v>164</v>
      </c>
      <c r="U14">
        <v>9</v>
      </c>
      <c r="V14">
        <v>13</v>
      </c>
      <c r="W14" s="2" t="s">
        <v>188</v>
      </c>
      <c r="X14">
        <v>4</v>
      </c>
      <c r="Y14">
        <v>8</v>
      </c>
      <c r="Z14" s="2" t="s">
        <v>151</v>
      </c>
      <c r="AA14">
        <v>1</v>
      </c>
      <c r="AB14">
        <v>5</v>
      </c>
      <c r="AC14" s="2" t="s">
        <v>195</v>
      </c>
      <c r="AD14">
        <v>4</v>
      </c>
      <c r="AE14">
        <v>8</v>
      </c>
      <c r="AF14" s="2" t="s">
        <v>148</v>
      </c>
      <c r="AG14">
        <v>7</v>
      </c>
      <c r="AH14">
        <v>11</v>
      </c>
      <c r="AI14" s="2" t="s">
        <v>197</v>
      </c>
      <c r="AJ14">
        <v>10</v>
      </c>
      <c r="AK14">
        <v>13</v>
      </c>
      <c r="AL14" s="2" t="s">
        <v>147</v>
      </c>
      <c r="AM14">
        <v>7</v>
      </c>
      <c r="AN14">
        <v>11</v>
      </c>
      <c r="AO14" s="2" t="s">
        <v>135</v>
      </c>
      <c r="AP14" s="2" t="s">
        <v>136</v>
      </c>
      <c r="AQ14" s="2" t="s">
        <v>133</v>
      </c>
      <c r="AR14">
        <v>1</v>
      </c>
      <c r="AS14" s="2" t="s">
        <v>137</v>
      </c>
      <c r="AT14" s="2" t="s">
        <v>138</v>
      </c>
      <c r="AU14">
        <v>16000171</v>
      </c>
      <c r="AV14" s="2" t="s">
        <v>149</v>
      </c>
      <c r="AW14">
        <v>7</v>
      </c>
      <c r="AX14">
        <v>11</v>
      </c>
      <c r="AY14" s="2" t="s">
        <v>142</v>
      </c>
      <c r="AZ14">
        <v>9</v>
      </c>
      <c r="BA14">
        <v>13</v>
      </c>
      <c r="BB14" s="2" t="s">
        <v>165</v>
      </c>
      <c r="BC14">
        <v>8</v>
      </c>
      <c r="BD14">
        <v>13</v>
      </c>
      <c r="BE14" s="2" t="s">
        <v>146</v>
      </c>
      <c r="BF14">
        <v>10</v>
      </c>
      <c r="BG14">
        <v>13</v>
      </c>
      <c r="BH14" s="2" t="s">
        <v>145</v>
      </c>
      <c r="BI14">
        <v>4</v>
      </c>
      <c r="BJ14">
        <v>8</v>
      </c>
      <c r="BK14" s="2" t="s">
        <v>222</v>
      </c>
      <c r="BL14">
        <v>9</v>
      </c>
      <c r="BM14">
        <v>13</v>
      </c>
      <c r="BN14" s="2" t="s">
        <v>170</v>
      </c>
      <c r="BO14">
        <v>7</v>
      </c>
      <c r="BP14">
        <v>11</v>
      </c>
      <c r="BQ14" s="2" t="s">
        <v>197</v>
      </c>
      <c r="BR14">
        <v>8</v>
      </c>
      <c r="BS14">
        <v>13</v>
      </c>
      <c r="BT14" s="2" t="s">
        <v>303</v>
      </c>
      <c r="BU14" s="2" t="s">
        <v>304</v>
      </c>
      <c r="BW14">
        <v>1</v>
      </c>
      <c r="BX14" s="2" t="s">
        <v>305</v>
      </c>
      <c r="BY14" s="2" t="s">
        <v>306</v>
      </c>
      <c r="BZ14">
        <v>16000034</v>
      </c>
      <c r="CA14" s="2" t="s">
        <v>147</v>
      </c>
      <c r="CB14">
        <v>8</v>
      </c>
      <c r="CC14">
        <v>11</v>
      </c>
      <c r="CD14" s="2" t="s">
        <v>187</v>
      </c>
      <c r="CE14">
        <v>11</v>
      </c>
      <c r="CF14">
        <v>13</v>
      </c>
      <c r="CG14" s="2" t="s">
        <v>186</v>
      </c>
      <c r="CH14">
        <v>5</v>
      </c>
      <c r="CI14">
        <v>8</v>
      </c>
      <c r="CJ14" s="2" t="s">
        <v>152</v>
      </c>
      <c r="CK14">
        <v>10</v>
      </c>
      <c r="CL14">
        <v>13</v>
      </c>
      <c r="CM14" s="2" t="s">
        <v>139</v>
      </c>
      <c r="CN14">
        <v>9</v>
      </c>
      <c r="CO14">
        <v>11</v>
      </c>
      <c r="CP14" s="2" t="s">
        <v>179</v>
      </c>
      <c r="CQ14">
        <v>5</v>
      </c>
      <c r="CR14">
        <v>8</v>
      </c>
      <c r="CS14" s="2" t="s">
        <v>189</v>
      </c>
      <c r="CT14">
        <v>9</v>
      </c>
      <c r="CU14">
        <v>11</v>
      </c>
      <c r="CV14" s="2" t="s">
        <v>197</v>
      </c>
      <c r="CW14">
        <v>11</v>
      </c>
      <c r="CX14">
        <v>13</v>
      </c>
      <c r="CY14" s="2" t="s">
        <v>307</v>
      </c>
      <c r="CZ14" s="2" t="s">
        <v>308</v>
      </c>
      <c r="DA14" s="2" t="s">
        <v>133</v>
      </c>
      <c r="DB14">
        <v>1</v>
      </c>
      <c r="DC14" s="2" t="s">
        <v>309</v>
      </c>
      <c r="DD14" s="2" t="s">
        <v>310</v>
      </c>
      <c r="DE14">
        <v>16000043</v>
      </c>
      <c r="DF14" s="2" t="s">
        <v>176</v>
      </c>
      <c r="DG14">
        <v>3</v>
      </c>
      <c r="DH14">
        <v>8</v>
      </c>
      <c r="DI14" s="2" t="s">
        <v>193</v>
      </c>
      <c r="DJ14">
        <v>3</v>
      </c>
      <c r="DK14">
        <v>8</v>
      </c>
      <c r="DL14" s="2" t="s">
        <v>196</v>
      </c>
      <c r="DM14">
        <v>4</v>
      </c>
      <c r="DN14">
        <v>8</v>
      </c>
      <c r="DO14" s="2" t="s">
        <v>188</v>
      </c>
      <c r="DP14">
        <v>3</v>
      </c>
      <c r="DQ14">
        <v>8</v>
      </c>
      <c r="DR14" s="2" t="s">
        <v>173</v>
      </c>
      <c r="DS14">
        <v>2</v>
      </c>
      <c r="DT14">
        <v>8</v>
      </c>
      <c r="DU14" s="2" t="s">
        <v>166</v>
      </c>
      <c r="DV14">
        <v>1</v>
      </c>
      <c r="DW14">
        <v>5</v>
      </c>
      <c r="DX14" s="2" t="s">
        <v>199</v>
      </c>
      <c r="DY14">
        <v>2</v>
      </c>
      <c r="DZ14">
        <v>5</v>
      </c>
      <c r="EA14" s="2" t="s">
        <v>146</v>
      </c>
      <c r="EB14">
        <v>8</v>
      </c>
      <c r="EC14">
        <v>13</v>
      </c>
      <c r="ED14" t="str">
        <f t="shared" si="0"/>
        <v>T</v>
      </c>
      <c r="EE14">
        <f t="shared" si="1"/>
        <v>0</v>
      </c>
    </row>
    <row r="15" spans="1:135" x14ac:dyDescent="0.2">
      <c r="A15" s="2" t="s">
        <v>285</v>
      </c>
      <c r="B15" s="1">
        <v>43314.006180555552</v>
      </c>
      <c r="D15">
        <v>54000005</v>
      </c>
      <c r="E15" s="2" t="s">
        <v>229</v>
      </c>
      <c r="F15">
        <v>72000023</v>
      </c>
      <c r="G15" s="2" t="s">
        <v>286</v>
      </c>
      <c r="I15" s="2" t="s">
        <v>134</v>
      </c>
      <c r="J15" s="2" t="s">
        <v>311</v>
      </c>
      <c r="K15" s="2" t="s">
        <v>312</v>
      </c>
      <c r="M15">
        <v>1</v>
      </c>
      <c r="N15" s="2" t="s">
        <v>313</v>
      </c>
      <c r="O15" s="2" t="s">
        <v>314</v>
      </c>
      <c r="P15">
        <v>16000029</v>
      </c>
      <c r="Q15" s="2" t="s">
        <v>208</v>
      </c>
      <c r="R15">
        <v>4</v>
      </c>
      <c r="S15">
        <v>8</v>
      </c>
      <c r="T15" s="2" t="s">
        <v>202</v>
      </c>
      <c r="U15">
        <v>8</v>
      </c>
      <c r="V15">
        <v>13</v>
      </c>
      <c r="W15" s="2" t="s">
        <v>210</v>
      </c>
      <c r="X15">
        <v>8</v>
      </c>
      <c r="Y15">
        <v>13</v>
      </c>
      <c r="Z15" s="2" t="s">
        <v>204</v>
      </c>
      <c r="AA15">
        <v>3</v>
      </c>
      <c r="AB15">
        <v>8</v>
      </c>
      <c r="AC15" s="2" t="s">
        <v>197</v>
      </c>
      <c r="AD15">
        <v>9</v>
      </c>
      <c r="AE15">
        <v>13</v>
      </c>
      <c r="AF15" s="2" t="s">
        <v>164</v>
      </c>
      <c r="AG15">
        <v>8</v>
      </c>
      <c r="AH15">
        <v>13</v>
      </c>
      <c r="AI15" s="2" t="s">
        <v>178</v>
      </c>
      <c r="AJ15">
        <v>4</v>
      </c>
      <c r="AK15">
        <v>8</v>
      </c>
      <c r="AL15" s="2" t="s">
        <v>148</v>
      </c>
      <c r="AM15">
        <v>6</v>
      </c>
      <c r="AN15">
        <v>11</v>
      </c>
      <c r="AO15" s="2" t="s">
        <v>135</v>
      </c>
      <c r="AP15" s="2" t="s">
        <v>136</v>
      </c>
      <c r="AQ15" s="2" t="s">
        <v>133</v>
      </c>
      <c r="AR15">
        <v>1</v>
      </c>
      <c r="AS15" s="2" t="s">
        <v>137</v>
      </c>
      <c r="AT15" s="2" t="s">
        <v>138</v>
      </c>
      <c r="AU15">
        <v>16000171</v>
      </c>
      <c r="AV15" s="2" t="s">
        <v>149</v>
      </c>
      <c r="AW15">
        <v>7</v>
      </c>
      <c r="AX15">
        <v>11</v>
      </c>
      <c r="AY15" s="2" t="s">
        <v>142</v>
      </c>
      <c r="AZ15">
        <v>9</v>
      </c>
      <c r="BA15">
        <v>13</v>
      </c>
      <c r="BB15" s="2" t="s">
        <v>165</v>
      </c>
      <c r="BC15">
        <v>8</v>
      </c>
      <c r="BD15">
        <v>13</v>
      </c>
      <c r="BE15" s="2" t="s">
        <v>146</v>
      </c>
      <c r="BF15">
        <v>10</v>
      </c>
      <c r="BG15">
        <v>13</v>
      </c>
      <c r="BH15" s="2" t="s">
        <v>145</v>
      </c>
      <c r="BI15">
        <v>4</v>
      </c>
      <c r="BJ15">
        <v>8</v>
      </c>
      <c r="BK15" s="2" t="s">
        <v>222</v>
      </c>
      <c r="BL15">
        <v>9</v>
      </c>
      <c r="BM15">
        <v>13</v>
      </c>
      <c r="BN15" s="2" t="s">
        <v>170</v>
      </c>
      <c r="BO15">
        <v>7</v>
      </c>
      <c r="BP15">
        <v>11</v>
      </c>
      <c r="BQ15" s="2" t="s">
        <v>197</v>
      </c>
      <c r="BR15">
        <v>8</v>
      </c>
      <c r="BS15">
        <v>13</v>
      </c>
      <c r="BT15" s="2" t="s">
        <v>315</v>
      </c>
      <c r="BU15" s="2" t="s">
        <v>316</v>
      </c>
      <c r="BW15">
        <v>0</v>
      </c>
      <c r="BX15" s="2" t="s">
        <v>133</v>
      </c>
      <c r="BY15" s="2" t="s">
        <v>133</v>
      </c>
      <c r="CA15" s="2" t="s">
        <v>141</v>
      </c>
      <c r="CB15">
        <v>4</v>
      </c>
      <c r="CC15">
        <v>8</v>
      </c>
      <c r="CD15" s="2" t="s">
        <v>139</v>
      </c>
      <c r="CE15">
        <v>7</v>
      </c>
      <c r="CF15">
        <v>11</v>
      </c>
      <c r="CG15" s="2" t="s">
        <v>173</v>
      </c>
      <c r="CH15">
        <v>4</v>
      </c>
      <c r="CI15">
        <v>8</v>
      </c>
      <c r="CJ15" s="2" t="s">
        <v>201</v>
      </c>
      <c r="CK15">
        <v>7</v>
      </c>
      <c r="CL15">
        <v>11</v>
      </c>
      <c r="CM15" s="2" t="s">
        <v>222</v>
      </c>
      <c r="CN15">
        <v>10</v>
      </c>
      <c r="CO15">
        <v>13</v>
      </c>
      <c r="CP15" s="2" t="s">
        <v>223</v>
      </c>
      <c r="CQ15">
        <v>7</v>
      </c>
      <c r="CR15">
        <v>11</v>
      </c>
      <c r="CS15" s="2" t="s">
        <v>205</v>
      </c>
      <c r="CT15">
        <v>3</v>
      </c>
      <c r="CU15">
        <v>8</v>
      </c>
      <c r="CV15" s="2" t="s">
        <v>186</v>
      </c>
      <c r="CW15">
        <v>4</v>
      </c>
      <c r="CX15">
        <v>8</v>
      </c>
      <c r="CY15" s="2" t="s">
        <v>317</v>
      </c>
      <c r="CZ15" s="2" t="s">
        <v>318</v>
      </c>
      <c r="DA15" s="2" t="s">
        <v>133</v>
      </c>
      <c r="DB15">
        <v>0</v>
      </c>
      <c r="DC15" s="2" t="s">
        <v>319</v>
      </c>
      <c r="DD15" s="2" t="s">
        <v>320</v>
      </c>
      <c r="DE15">
        <v>16000007</v>
      </c>
      <c r="DF15" s="2" t="s">
        <v>141</v>
      </c>
      <c r="DG15">
        <v>4</v>
      </c>
      <c r="DH15">
        <v>8</v>
      </c>
      <c r="DI15" s="2" t="s">
        <v>196</v>
      </c>
      <c r="DJ15">
        <v>4</v>
      </c>
      <c r="DK15">
        <v>8</v>
      </c>
      <c r="DL15" s="2" t="s">
        <v>165</v>
      </c>
      <c r="DM15">
        <v>8</v>
      </c>
      <c r="DN15">
        <v>13</v>
      </c>
      <c r="DO15" s="2" t="s">
        <v>173</v>
      </c>
      <c r="DP15">
        <v>2</v>
      </c>
      <c r="DQ15">
        <v>8</v>
      </c>
      <c r="DR15" s="2" t="s">
        <v>204</v>
      </c>
      <c r="DS15">
        <v>2</v>
      </c>
      <c r="DT15">
        <v>8</v>
      </c>
      <c r="DU15" s="2" t="s">
        <v>159</v>
      </c>
      <c r="DV15">
        <v>3</v>
      </c>
      <c r="DW15">
        <v>8</v>
      </c>
      <c r="DX15" s="2" t="s">
        <v>139</v>
      </c>
      <c r="DY15">
        <v>5</v>
      </c>
      <c r="DZ15">
        <v>11</v>
      </c>
      <c r="EA15" s="2" t="s">
        <v>174</v>
      </c>
      <c r="EB15">
        <v>1</v>
      </c>
      <c r="EC15">
        <v>5</v>
      </c>
      <c r="ED15" t="str">
        <f t="shared" si="0"/>
        <v>W</v>
      </c>
      <c r="EE15">
        <f t="shared" si="1"/>
        <v>1</v>
      </c>
    </row>
    <row r="16" spans="1:135" x14ac:dyDescent="0.2">
      <c r="A16" s="2" t="s">
        <v>285</v>
      </c>
      <c r="B16" s="1">
        <v>43313.992488425924</v>
      </c>
      <c r="D16">
        <v>54000008</v>
      </c>
      <c r="E16" s="2" t="s">
        <v>207</v>
      </c>
      <c r="F16">
        <v>72000023</v>
      </c>
      <c r="G16" s="2" t="s">
        <v>286</v>
      </c>
      <c r="I16" s="2" t="s">
        <v>134</v>
      </c>
      <c r="J16" s="2" t="s">
        <v>135</v>
      </c>
      <c r="K16" s="2" t="s">
        <v>136</v>
      </c>
      <c r="M16">
        <v>1</v>
      </c>
      <c r="N16" s="2" t="s">
        <v>137</v>
      </c>
      <c r="O16" s="2" t="s">
        <v>138</v>
      </c>
      <c r="P16">
        <v>16000171</v>
      </c>
      <c r="Q16" s="2" t="s">
        <v>170</v>
      </c>
      <c r="R16">
        <v>7</v>
      </c>
      <c r="S16">
        <v>11</v>
      </c>
      <c r="T16" s="2" t="s">
        <v>143</v>
      </c>
      <c r="U16">
        <v>9</v>
      </c>
      <c r="V16">
        <v>13</v>
      </c>
      <c r="W16" s="2" t="s">
        <v>146</v>
      </c>
      <c r="X16">
        <v>10</v>
      </c>
      <c r="Y16">
        <v>13</v>
      </c>
      <c r="Z16" s="2" t="s">
        <v>145</v>
      </c>
      <c r="AA16">
        <v>4</v>
      </c>
      <c r="AB16">
        <v>8</v>
      </c>
      <c r="AC16" s="2" t="s">
        <v>139</v>
      </c>
      <c r="AD16">
        <v>7</v>
      </c>
      <c r="AE16">
        <v>11</v>
      </c>
      <c r="AF16" s="2" t="s">
        <v>141</v>
      </c>
      <c r="AG16">
        <v>5</v>
      </c>
      <c r="AH16">
        <v>8</v>
      </c>
      <c r="AI16" s="2" t="s">
        <v>140</v>
      </c>
      <c r="AJ16">
        <v>9</v>
      </c>
      <c r="AK16">
        <v>13</v>
      </c>
      <c r="AL16" s="2" t="s">
        <v>152</v>
      </c>
      <c r="AM16">
        <v>9</v>
      </c>
      <c r="AN16">
        <v>13</v>
      </c>
      <c r="AO16" s="2" t="s">
        <v>321</v>
      </c>
      <c r="AP16" s="2" t="s">
        <v>322</v>
      </c>
      <c r="AQ16" s="2" t="s">
        <v>133</v>
      </c>
      <c r="AR16">
        <v>1</v>
      </c>
      <c r="AS16" s="2" t="s">
        <v>323</v>
      </c>
      <c r="AT16" s="2" t="s">
        <v>324</v>
      </c>
      <c r="AU16">
        <v>16000014</v>
      </c>
      <c r="AV16" s="2" t="s">
        <v>205</v>
      </c>
      <c r="AW16">
        <v>3</v>
      </c>
      <c r="AX16">
        <v>8</v>
      </c>
      <c r="AY16" s="2" t="s">
        <v>199</v>
      </c>
      <c r="AZ16">
        <v>2</v>
      </c>
      <c r="BA16">
        <v>5</v>
      </c>
      <c r="BB16" s="2" t="s">
        <v>144</v>
      </c>
      <c r="BC16">
        <v>9</v>
      </c>
      <c r="BD16">
        <v>13</v>
      </c>
      <c r="BE16" s="2" t="s">
        <v>173</v>
      </c>
      <c r="BF16">
        <v>1</v>
      </c>
      <c r="BG16">
        <v>8</v>
      </c>
      <c r="BH16" s="2" t="s">
        <v>163</v>
      </c>
      <c r="BI16">
        <v>6</v>
      </c>
      <c r="BJ16">
        <v>11</v>
      </c>
      <c r="BK16" s="2" t="s">
        <v>152</v>
      </c>
      <c r="BL16">
        <v>8</v>
      </c>
      <c r="BM16">
        <v>13</v>
      </c>
      <c r="BN16" s="2" t="s">
        <v>148</v>
      </c>
      <c r="BO16">
        <v>6</v>
      </c>
      <c r="BP16">
        <v>11</v>
      </c>
      <c r="BQ16" s="2" t="s">
        <v>166</v>
      </c>
      <c r="BR16">
        <v>1</v>
      </c>
      <c r="BS16">
        <v>5</v>
      </c>
      <c r="BT16" s="2" t="s">
        <v>325</v>
      </c>
      <c r="BU16" s="2" t="s">
        <v>326</v>
      </c>
      <c r="BW16">
        <v>0</v>
      </c>
      <c r="BX16" s="2" t="s">
        <v>327</v>
      </c>
      <c r="BY16" s="2" t="s">
        <v>328</v>
      </c>
      <c r="BZ16">
        <v>16000164</v>
      </c>
      <c r="CA16" s="2" t="s">
        <v>204</v>
      </c>
      <c r="CB16">
        <v>4</v>
      </c>
      <c r="CC16">
        <v>8</v>
      </c>
      <c r="CD16" s="2" t="s">
        <v>184</v>
      </c>
      <c r="CE16">
        <v>2</v>
      </c>
      <c r="CF16">
        <v>5</v>
      </c>
      <c r="CG16" s="2" t="s">
        <v>142</v>
      </c>
      <c r="CH16">
        <v>6</v>
      </c>
      <c r="CI16">
        <v>13</v>
      </c>
      <c r="CJ16" s="2" t="s">
        <v>205</v>
      </c>
      <c r="CK16">
        <v>3</v>
      </c>
      <c r="CL16">
        <v>8</v>
      </c>
      <c r="CM16" s="2" t="s">
        <v>151</v>
      </c>
      <c r="CN16">
        <v>1</v>
      </c>
      <c r="CO16">
        <v>5</v>
      </c>
      <c r="CP16" s="2" t="s">
        <v>186</v>
      </c>
      <c r="CQ16">
        <v>4</v>
      </c>
      <c r="CR16">
        <v>8</v>
      </c>
      <c r="CS16" s="2" t="s">
        <v>175</v>
      </c>
      <c r="CT16">
        <v>2</v>
      </c>
      <c r="CU16">
        <v>5</v>
      </c>
      <c r="CV16" s="2" t="s">
        <v>165</v>
      </c>
      <c r="CW16">
        <v>9</v>
      </c>
      <c r="CX16">
        <v>13</v>
      </c>
      <c r="CY16" s="2" t="s">
        <v>329</v>
      </c>
      <c r="CZ16" s="2" t="s">
        <v>330</v>
      </c>
      <c r="DA16" s="2" t="s">
        <v>133</v>
      </c>
      <c r="DB16">
        <v>0</v>
      </c>
      <c r="DC16" s="2" t="s">
        <v>331</v>
      </c>
      <c r="DD16" s="2" t="s">
        <v>332</v>
      </c>
      <c r="DE16">
        <v>16000000</v>
      </c>
      <c r="DF16" s="2" t="s">
        <v>151</v>
      </c>
      <c r="DG16">
        <v>1</v>
      </c>
      <c r="DH16">
        <v>5</v>
      </c>
      <c r="DI16" s="2" t="s">
        <v>152</v>
      </c>
      <c r="DJ16">
        <v>9</v>
      </c>
      <c r="DK16">
        <v>13</v>
      </c>
      <c r="DL16" s="2" t="s">
        <v>174</v>
      </c>
      <c r="DM16">
        <v>1</v>
      </c>
      <c r="DN16">
        <v>5</v>
      </c>
      <c r="DO16" s="2" t="s">
        <v>193</v>
      </c>
      <c r="DP16">
        <v>4</v>
      </c>
      <c r="DQ16">
        <v>8</v>
      </c>
      <c r="DR16" s="2" t="s">
        <v>153</v>
      </c>
      <c r="DS16">
        <v>1</v>
      </c>
      <c r="DT16">
        <v>5</v>
      </c>
      <c r="DU16" s="2" t="s">
        <v>183</v>
      </c>
      <c r="DV16">
        <v>1</v>
      </c>
      <c r="DW16">
        <v>5</v>
      </c>
      <c r="DX16" s="2" t="s">
        <v>186</v>
      </c>
      <c r="DY16">
        <v>4</v>
      </c>
      <c r="DZ16">
        <v>8</v>
      </c>
      <c r="EA16" s="2" t="s">
        <v>179</v>
      </c>
      <c r="EB16">
        <v>5</v>
      </c>
      <c r="EC16">
        <v>8</v>
      </c>
      <c r="ED16" t="str">
        <f t="shared" si="0"/>
        <v>W</v>
      </c>
      <c r="EE16">
        <f t="shared" si="1"/>
        <v>1</v>
      </c>
    </row>
    <row r="17" spans="1:135" x14ac:dyDescent="0.2">
      <c r="A17" s="2" t="s">
        <v>285</v>
      </c>
      <c r="B17" s="1">
        <v>43313.872546296298</v>
      </c>
      <c r="D17">
        <v>54000011</v>
      </c>
      <c r="E17" s="2" t="s">
        <v>234</v>
      </c>
      <c r="F17">
        <v>72000023</v>
      </c>
      <c r="G17" s="2" t="s">
        <v>286</v>
      </c>
      <c r="I17" s="2" t="s">
        <v>134</v>
      </c>
      <c r="J17" s="2" t="s">
        <v>333</v>
      </c>
      <c r="K17" s="2" t="s">
        <v>334</v>
      </c>
      <c r="M17">
        <v>3</v>
      </c>
      <c r="N17" s="2" t="s">
        <v>335</v>
      </c>
      <c r="O17" s="2" t="s">
        <v>336</v>
      </c>
      <c r="P17">
        <v>16000112</v>
      </c>
      <c r="Q17" s="2" t="s">
        <v>188</v>
      </c>
      <c r="R17">
        <v>3</v>
      </c>
      <c r="S17">
        <v>8</v>
      </c>
      <c r="T17" s="2" t="s">
        <v>186</v>
      </c>
      <c r="U17">
        <v>3</v>
      </c>
      <c r="V17">
        <v>8</v>
      </c>
      <c r="W17" s="2" t="s">
        <v>152</v>
      </c>
      <c r="X17">
        <v>9</v>
      </c>
      <c r="Y17">
        <v>13</v>
      </c>
      <c r="Z17" s="2" t="s">
        <v>139</v>
      </c>
      <c r="AA17">
        <v>6</v>
      </c>
      <c r="AB17">
        <v>11</v>
      </c>
      <c r="AC17" s="2" t="s">
        <v>148</v>
      </c>
      <c r="AD17">
        <v>6</v>
      </c>
      <c r="AE17">
        <v>11</v>
      </c>
      <c r="AF17" s="2" t="s">
        <v>147</v>
      </c>
      <c r="AG17">
        <v>6</v>
      </c>
      <c r="AH17">
        <v>11</v>
      </c>
      <c r="AI17" s="2" t="s">
        <v>196</v>
      </c>
      <c r="AJ17">
        <v>4</v>
      </c>
      <c r="AK17">
        <v>8</v>
      </c>
      <c r="AL17" s="2" t="s">
        <v>179</v>
      </c>
      <c r="AM17">
        <v>3</v>
      </c>
      <c r="AN17">
        <v>8</v>
      </c>
      <c r="AO17" s="2" t="s">
        <v>135</v>
      </c>
      <c r="AP17" s="2" t="s">
        <v>136</v>
      </c>
      <c r="AQ17" s="2" t="s">
        <v>133</v>
      </c>
      <c r="AR17">
        <v>3</v>
      </c>
      <c r="AS17" s="2" t="s">
        <v>137</v>
      </c>
      <c r="AT17" s="2" t="s">
        <v>138</v>
      </c>
      <c r="AU17">
        <v>16000171</v>
      </c>
      <c r="AV17" s="2" t="s">
        <v>170</v>
      </c>
      <c r="AW17">
        <v>7</v>
      </c>
      <c r="AX17">
        <v>11</v>
      </c>
      <c r="AY17" s="2" t="s">
        <v>143</v>
      </c>
      <c r="AZ17">
        <v>9</v>
      </c>
      <c r="BA17">
        <v>13</v>
      </c>
      <c r="BB17" s="2" t="s">
        <v>146</v>
      </c>
      <c r="BC17">
        <v>10</v>
      </c>
      <c r="BD17">
        <v>13</v>
      </c>
      <c r="BE17" s="2" t="s">
        <v>145</v>
      </c>
      <c r="BF17">
        <v>4</v>
      </c>
      <c r="BG17">
        <v>8</v>
      </c>
      <c r="BH17" s="2" t="s">
        <v>139</v>
      </c>
      <c r="BI17">
        <v>7</v>
      </c>
      <c r="BJ17">
        <v>11</v>
      </c>
      <c r="BK17" s="2" t="s">
        <v>141</v>
      </c>
      <c r="BL17">
        <v>5</v>
      </c>
      <c r="BM17">
        <v>8</v>
      </c>
      <c r="BN17" s="2" t="s">
        <v>140</v>
      </c>
      <c r="BO17">
        <v>9</v>
      </c>
      <c r="BP17">
        <v>13</v>
      </c>
      <c r="BQ17" s="2" t="s">
        <v>152</v>
      </c>
      <c r="BR17">
        <v>9</v>
      </c>
      <c r="BS17">
        <v>13</v>
      </c>
      <c r="BT17" s="2" t="s">
        <v>337</v>
      </c>
      <c r="BU17" s="2" t="s">
        <v>338</v>
      </c>
      <c r="BW17">
        <v>0</v>
      </c>
      <c r="BX17" s="2" t="s">
        <v>339</v>
      </c>
      <c r="BY17" s="2" t="s">
        <v>340</v>
      </c>
      <c r="BZ17">
        <v>16000056</v>
      </c>
      <c r="CA17" s="2" t="s">
        <v>189</v>
      </c>
      <c r="CB17">
        <v>6</v>
      </c>
      <c r="CC17">
        <v>11</v>
      </c>
      <c r="CD17" s="2" t="s">
        <v>154</v>
      </c>
      <c r="CE17">
        <v>3</v>
      </c>
      <c r="CF17">
        <v>8</v>
      </c>
      <c r="CG17" s="2" t="s">
        <v>159</v>
      </c>
      <c r="CH17">
        <v>4</v>
      </c>
      <c r="CI17">
        <v>8</v>
      </c>
      <c r="CJ17" s="2" t="s">
        <v>206</v>
      </c>
      <c r="CK17">
        <v>3</v>
      </c>
      <c r="CL17">
        <v>8</v>
      </c>
      <c r="CM17" s="2" t="s">
        <v>184</v>
      </c>
      <c r="CN17">
        <v>2</v>
      </c>
      <c r="CO17">
        <v>5</v>
      </c>
      <c r="CP17" s="2" t="s">
        <v>147</v>
      </c>
      <c r="CQ17">
        <v>7</v>
      </c>
      <c r="CR17">
        <v>11</v>
      </c>
      <c r="CS17" s="2" t="s">
        <v>204</v>
      </c>
      <c r="CT17">
        <v>4</v>
      </c>
      <c r="CU17">
        <v>8</v>
      </c>
      <c r="CV17" s="2" t="s">
        <v>188</v>
      </c>
      <c r="CW17">
        <v>4</v>
      </c>
      <c r="CX17">
        <v>8</v>
      </c>
      <c r="CY17" s="2" t="s">
        <v>341</v>
      </c>
      <c r="CZ17" s="2" t="s">
        <v>342</v>
      </c>
      <c r="DA17" s="2" t="s">
        <v>133</v>
      </c>
      <c r="DB17">
        <v>0</v>
      </c>
      <c r="DC17" s="2" t="s">
        <v>343</v>
      </c>
      <c r="DD17" s="2" t="s">
        <v>344</v>
      </c>
      <c r="DE17">
        <v>16000015</v>
      </c>
      <c r="DF17" s="2" t="s">
        <v>191</v>
      </c>
      <c r="DG17">
        <v>8</v>
      </c>
      <c r="DH17">
        <v>13</v>
      </c>
      <c r="DI17" s="2" t="s">
        <v>183</v>
      </c>
      <c r="DJ17">
        <v>1</v>
      </c>
      <c r="DK17">
        <v>5</v>
      </c>
      <c r="DL17" s="2" t="s">
        <v>184</v>
      </c>
      <c r="DM17">
        <v>1</v>
      </c>
      <c r="DN17">
        <v>5</v>
      </c>
      <c r="DO17" s="2" t="s">
        <v>146</v>
      </c>
      <c r="DP17">
        <v>10</v>
      </c>
      <c r="DQ17">
        <v>13</v>
      </c>
      <c r="DR17" s="2" t="s">
        <v>194</v>
      </c>
      <c r="DS17">
        <v>2</v>
      </c>
      <c r="DT17">
        <v>8</v>
      </c>
      <c r="DU17" s="2" t="s">
        <v>153</v>
      </c>
      <c r="DV17">
        <v>1</v>
      </c>
      <c r="DW17">
        <v>5</v>
      </c>
      <c r="DX17" s="2" t="s">
        <v>179</v>
      </c>
      <c r="DY17">
        <v>3</v>
      </c>
      <c r="DZ17">
        <v>8</v>
      </c>
      <c r="EA17" s="2" t="s">
        <v>193</v>
      </c>
      <c r="EB17">
        <v>3</v>
      </c>
      <c r="EC17">
        <v>8</v>
      </c>
      <c r="ED17" t="str">
        <f t="shared" si="0"/>
        <v>W</v>
      </c>
      <c r="EE17">
        <f t="shared" si="1"/>
        <v>3</v>
      </c>
    </row>
    <row r="18" spans="1:135" x14ac:dyDescent="0.2">
      <c r="A18" s="2" t="s">
        <v>230</v>
      </c>
      <c r="B18" s="1">
        <v>43313.869305555556</v>
      </c>
      <c r="D18">
        <v>54000000</v>
      </c>
      <c r="E18" s="2" t="s">
        <v>235</v>
      </c>
      <c r="F18">
        <v>72000060</v>
      </c>
      <c r="G18" s="2" t="s">
        <v>231</v>
      </c>
      <c r="I18" s="2" t="s">
        <v>134</v>
      </c>
      <c r="J18" s="2" t="s">
        <v>135</v>
      </c>
      <c r="K18" s="2" t="s">
        <v>136</v>
      </c>
      <c r="L18">
        <v>2815</v>
      </c>
      <c r="M18">
        <v>0</v>
      </c>
      <c r="N18" s="2" t="s">
        <v>137</v>
      </c>
      <c r="O18" s="2" t="s">
        <v>138</v>
      </c>
      <c r="P18">
        <v>16000171</v>
      </c>
      <c r="Q18" s="2" t="s">
        <v>170</v>
      </c>
      <c r="R18">
        <v>7</v>
      </c>
      <c r="S18">
        <v>11</v>
      </c>
      <c r="T18" s="2" t="s">
        <v>143</v>
      </c>
      <c r="U18">
        <v>9</v>
      </c>
      <c r="V18">
        <v>13</v>
      </c>
      <c r="W18" s="2" t="s">
        <v>146</v>
      </c>
      <c r="X18">
        <v>10</v>
      </c>
      <c r="Y18">
        <v>13</v>
      </c>
      <c r="Z18" s="2" t="s">
        <v>145</v>
      </c>
      <c r="AA18">
        <v>4</v>
      </c>
      <c r="AB18">
        <v>8</v>
      </c>
      <c r="AC18" s="2" t="s">
        <v>139</v>
      </c>
      <c r="AD18">
        <v>7</v>
      </c>
      <c r="AE18">
        <v>11</v>
      </c>
      <c r="AF18" s="2" t="s">
        <v>141</v>
      </c>
      <c r="AG18">
        <v>5</v>
      </c>
      <c r="AH18">
        <v>8</v>
      </c>
      <c r="AI18" s="2" t="s">
        <v>140</v>
      </c>
      <c r="AJ18">
        <v>9</v>
      </c>
      <c r="AK18">
        <v>13</v>
      </c>
      <c r="AL18" s="2" t="s">
        <v>152</v>
      </c>
      <c r="AM18">
        <v>9</v>
      </c>
      <c r="AN18">
        <v>13</v>
      </c>
      <c r="AO18" s="2" t="s">
        <v>133</v>
      </c>
      <c r="AP18" s="2" t="s">
        <v>133</v>
      </c>
      <c r="AQ18" s="2" t="s">
        <v>133</v>
      </c>
      <c r="AS18" s="2" t="s">
        <v>133</v>
      </c>
      <c r="AT18" s="2" t="s">
        <v>133</v>
      </c>
      <c r="AV18" s="2" t="s">
        <v>133</v>
      </c>
      <c r="AY18" s="2" t="s">
        <v>133</v>
      </c>
      <c r="BB18" s="2" t="s">
        <v>133</v>
      </c>
      <c r="BE18" s="2" t="s">
        <v>133</v>
      </c>
      <c r="BH18" s="2" t="s">
        <v>133</v>
      </c>
      <c r="BK18" s="2" t="s">
        <v>133</v>
      </c>
      <c r="BN18" s="2" t="s">
        <v>133</v>
      </c>
      <c r="BQ18" s="2" t="s">
        <v>133</v>
      </c>
      <c r="BT18" s="2" t="s">
        <v>345</v>
      </c>
      <c r="BU18" s="2" t="s">
        <v>346</v>
      </c>
      <c r="BV18">
        <v>3652</v>
      </c>
      <c r="BW18">
        <v>1</v>
      </c>
      <c r="BX18" s="2" t="s">
        <v>347</v>
      </c>
      <c r="BY18" s="2" t="s">
        <v>348</v>
      </c>
      <c r="BZ18">
        <v>16000001</v>
      </c>
      <c r="CA18" s="2" t="s">
        <v>147</v>
      </c>
      <c r="CB18">
        <v>8</v>
      </c>
      <c r="CC18">
        <v>11</v>
      </c>
      <c r="CD18" s="2" t="s">
        <v>195</v>
      </c>
      <c r="CE18">
        <v>5</v>
      </c>
      <c r="CF18">
        <v>8</v>
      </c>
      <c r="CG18" s="2" t="s">
        <v>159</v>
      </c>
      <c r="CH18">
        <v>5</v>
      </c>
      <c r="CI18">
        <v>8</v>
      </c>
      <c r="CJ18" s="2" t="s">
        <v>197</v>
      </c>
      <c r="CK18">
        <v>11</v>
      </c>
      <c r="CL18">
        <v>13</v>
      </c>
      <c r="CM18" s="2" t="s">
        <v>148</v>
      </c>
      <c r="CN18">
        <v>8</v>
      </c>
      <c r="CO18">
        <v>11</v>
      </c>
      <c r="CP18" s="2" t="s">
        <v>160</v>
      </c>
      <c r="CQ18">
        <v>1</v>
      </c>
      <c r="CR18">
        <v>5</v>
      </c>
      <c r="CS18" s="2" t="s">
        <v>151</v>
      </c>
      <c r="CT18">
        <v>2</v>
      </c>
      <c r="CU18">
        <v>5</v>
      </c>
      <c r="CV18" s="2" t="s">
        <v>204</v>
      </c>
      <c r="CW18">
        <v>6</v>
      </c>
      <c r="CX18">
        <v>8</v>
      </c>
      <c r="CY18" s="2" t="s">
        <v>133</v>
      </c>
      <c r="CZ18" s="2" t="s">
        <v>133</v>
      </c>
      <c r="DA18" s="2" t="s">
        <v>133</v>
      </c>
      <c r="DC18" s="2" t="s">
        <v>133</v>
      </c>
      <c r="DD18" s="2" t="s">
        <v>133</v>
      </c>
      <c r="DF18" s="2" t="s">
        <v>133</v>
      </c>
      <c r="DI18" s="2" t="s">
        <v>133</v>
      </c>
      <c r="DL18" s="2" t="s">
        <v>133</v>
      </c>
      <c r="DO18" s="2" t="s">
        <v>133</v>
      </c>
      <c r="DR18" s="2" t="s">
        <v>133</v>
      </c>
      <c r="DU18" s="2" t="s">
        <v>133</v>
      </c>
      <c r="DX18" s="2" t="s">
        <v>133</v>
      </c>
      <c r="EA18" s="2" t="s">
        <v>133</v>
      </c>
      <c r="ED18" t="str">
        <f t="shared" si="0"/>
        <v>L</v>
      </c>
      <c r="EE18">
        <f t="shared" si="1"/>
        <v>-1</v>
      </c>
    </row>
    <row r="19" spans="1:135" x14ac:dyDescent="0.2">
      <c r="A19" s="2" t="s">
        <v>230</v>
      </c>
      <c r="B19" s="1">
        <v>43313.867928240739</v>
      </c>
      <c r="D19">
        <v>54000008</v>
      </c>
      <c r="E19" s="2" t="s">
        <v>207</v>
      </c>
      <c r="F19">
        <v>72000087</v>
      </c>
      <c r="G19" s="2" t="s">
        <v>232</v>
      </c>
      <c r="I19" s="2" t="s">
        <v>233</v>
      </c>
      <c r="J19" s="2" t="s">
        <v>135</v>
      </c>
      <c r="K19" s="2" t="s">
        <v>136</v>
      </c>
      <c r="L19">
        <v>2815</v>
      </c>
      <c r="M19">
        <v>3</v>
      </c>
      <c r="N19" s="2" t="s">
        <v>137</v>
      </c>
      <c r="O19" s="2" t="s">
        <v>138</v>
      </c>
      <c r="P19">
        <v>16000171</v>
      </c>
      <c r="Q19" s="2" t="s">
        <v>215</v>
      </c>
      <c r="R19">
        <v>7</v>
      </c>
      <c r="S19">
        <v>11</v>
      </c>
      <c r="T19" s="2" t="s">
        <v>197</v>
      </c>
      <c r="U19">
        <v>9</v>
      </c>
      <c r="V19">
        <v>13</v>
      </c>
      <c r="W19" s="2" t="s">
        <v>165</v>
      </c>
      <c r="X19">
        <v>9</v>
      </c>
      <c r="Y19">
        <v>13</v>
      </c>
      <c r="Z19" s="2" t="s">
        <v>170</v>
      </c>
      <c r="AA19">
        <v>7</v>
      </c>
      <c r="AB19">
        <v>11</v>
      </c>
      <c r="AC19" s="2" t="s">
        <v>150</v>
      </c>
      <c r="AD19">
        <v>7</v>
      </c>
      <c r="AE19">
        <v>11</v>
      </c>
      <c r="AF19" s="2" t="s">
        <v>158</v>
      </c>
      <c r="AG19">
        <v>1</v>
      </c>
      <c r="AH19">
        <v>5</v>
      </c>
      <c r="AI19" s="2" t="s">
        <v>151</v>
      </c>
      <c r="AJ19">
        <v>1</v>
      </c>
      <c r="AK19">
        <v>5</v>
      </c>
      <c r="AL19" s="2" t="s">
        <v>213</v>
      </c>
      <c r="AM19">
        <v>7</v>
      </c>
      <c r="AN19">
        <v>11</v>
      </c>
      <c r="AO19" s="2" t="s">
        <v>133</v>
      </c>
      <c r="AP19" s="2" t="s">
        <v>133</v>
      </c>
      <c r="AQ19" s="2" t="s">
        <v>133</v>
      </c>
      <c r="AS19" s="2" t="s">
        <v>133</v>
      </c>
      <c r="AT19" s="2" t="s">
        <v>133</v>
      </c>
      <c r="AV19" s="2" t="s">
        <v>133</v>
      </c>
      <c r="AY19" s="2" t="s">
        <v>133</v>
      </c>
      <c r="BB19" s="2" t="s">
        <v>133</v>
      </c>
      <c r="BE19" s="2" t="s">
        <v>133</v>
      </c>
      <c r="BH19" s="2" t="s">
        <v>133</v>
      </c>
      <c r="BK19" s="2" t="s">
        <v>133</v>
      </c>
      <c r="BN19" s="2" t="s">
        <v>133</v>
      </c>
      <c r="BQ19" s="2" t="s">
        <v>133</v>
      </c>
      <c r="BT19" s="2" t="s">
        <v>349</v>
      </c>
      <c r="BU19" s="2" t="s">
        <v>350</v>
      </c>
      <c r="BV19">
        <v>3537</v>
      </c>
      <c r="BW19">
        <v>0</v>
      </c>
      <c r="BX19" s="2" t="s">
        <v>351</v>
      </c>
      <c r="BY19" s="2" t="s">
        <v>352</v>
      </c>
      <c r="BZ19">
        <v>16000012</v>
      </c>
      <c r="CA19" s="2" t="s">
        <v>218</v>
      </c>
      <c r="CB19">
        <v>4</v>
      </c>
      <c r="CC19">
        <v>8</v>
      </c>
      <c r="CD19" s="2" t="s">
        <v>160</v>
      </c>
      <c r="CE19">
        <v>1</v>
      </c>
      <c r="CF19">
        <v>5</v>
      </c>
      <c r="CG19" s="2" t="s">
        <v>219</v>
      </c>
      <c r="CH19">
        <v>1</v>
      </c>
      <c r="CI19">
        <v>5</v>
      </c>
      <c r="CJ19" s="2" t="s">
        <v>157</v>
      </c>
      <c r="CK19">
        <v>7</v>
      </c>
      <c r="CL19">
        <v>11</v>
      </c>
      <c r="CM19" s="2" t="s">
        <v>210</v>
      </c>
      <c r="CN19">
        <v>9</v>
      </c>
      <c r="CO19">
        <v>13</v>
      </c>
      <c r="CP19" s="2" t="s">
        <v>213</v>
      </c>
      <c r="CQ19">
        <v>7</v>
      </c>
      <c r="CR19">
        <v>11</v>
      </c>
      <c r="CS19" s="2" t="s">
        <v>146</v>
      </c>
      <c r="CT19">
        <v>9</v>
      </c>
      <c r="CU19">
        <v>13</v>
      </c>
      <c r="CV19" s="2" t="s">
        <v>220</v>
      </c>
      <c r="CW19">
        <v>4</v>
      </c>
      <c r="CX19">
        <v>8</v>
      </c>
      <c r="CY19" s="2" t="s">
        <v>133</v>
      </c>
      <c r="CZ19" s="2" t="s">
        <v>133</v>
      </c>
      <c r="DA19" s="2" t="s">
        <v>133</v>
      </c>
      <c r="DC19" s="2" t="s">
        <v>133</v>
      </c>
      <c r="DD19" s="2" t="s">
        <v>133</v>
      </c>
      <c r="DF19" s="2" t="s">
        <v>133</v>
      </c>
      <c r="DI19" s="2" t="s">
        <v>133</v>
      </c>
      <c r="DL19" s="2" t="s">
        <v>133</v>
      </c>
      <c r="DO19" s="2" t="s">
        <v>133</v>
      </c>
      <c r="DR19" s="2" t="s">
        <v>133</v>
      </c>
      <c r="DU19" s="2" t="s">
        <v>133</v>
      </c>
      <c r="DX19" s="2" t="s">
        <v>133</v>
      </c>
      <c r="EA19" s="2" t="s">
        <v>133</v>
      </c>
      <c r="ED19" t="str">
        <f t="shared" si="0"/>
        <v>W</v>
      </c>
      <c r="EE19">
        <f t="shared" si="1"/>
        <v>3</v>
      </c>
    </row>
    <row r="20" spans="1:135" x14ac:dyDescent="0.2">
      <c r="A20" s="2" t="s">
        <v>230</v>
      </c>
      <c r="B20" s="1">
        <v>43313.866944444446</v>
      </c>
      <c r="D20">
        <v>54000001</v>
      </c>
      <c r="E20" s="2" t="s">
        <v>228</v>
      </c>
      <c r="F20">
        <v>72000060</v>
      </c>
      <c r="G20" s="2" t="s">
        <v>231</v>
      </c>
      <c r="I20" s="2" t="s">
        <v>134</v>
      </c>
      <c r="J20" s="2" t="s">
        <v>135</v>
      </c>
      <c r="K20" s="2" t="s">
        <v>136</v>
      </c>
      <c r="L20">
        <v>2815</v>
      </c>
      <c r="M20">
        <v>0</v>
      </c>
      <c r="N20" s="2" t="s">
        <v>137</v>
      </c>
      <c r="O20" s="2" t="s">
        <v>138</v>
      </c>
      <c r="P20">
        <v>16000171</v>
      </c>
      <c r="Q20" s="2" t="s">
        <v>149</v>
      </c>
      <c r="R20">
        <v>7</v>
      </c>
      <c r="S20">
        <v>11</v>
      </c>
      <c r="T20" s="2" t="s">
        <v>142</v>
      </c>
      <c r="U20">
        <v>9</v>
      </c>
      <c r="V20">
        <v>13</v>
      </c>
      <c r="W20" s="2" t="s">
        <v>165</v>
      </c>
      <c r="X20">
        <v>8</v>
      </c>
      <c r="Y20">
        <v>13</v>
      </c>
      <c r="Z20" s="2" t="s">
        <v>146</v>
      </c>
      <c r="AA20">
        <v>10</v>
      </c>
      <c r="AB20">
        <v>13</v>
      </c>
      <c r="AC20" s="2" t="s">
        <v>145</v>
      </c>
      <c r="AD20">
        <v>4</v>
      </c>
      <c r="AE20">
        <v>8</v>
      </c>
      <c r="AF20" s="2" t="s">
        <v>222</v>
      </c>
      <c r="AG20">
        <v>9</v>
      </c>
      <c r="AH20">
        <v>13</v>
      </c>
      <c r="AI20" s="2" t="s">
        <v>170</v>
      </c>
      <c r="AJ20">
        <v>7</v>
      </c>
      <c r="AK20">
        <v>11</v>
      </c>
      <c r="AL20" s="2" t="s">
        <v>197</v>
      </c>
      <c r="AM20">
        <v>8</v>
      </c>
      <c r="AN20">
        <v>13</v>
      </c>
      <c r="AO20" s="2" t="s">
        <v>133</v>
      </c>
      <c r="AP20" s="2" t="s">
        <v>133</v>
      </c>
      <c r="AQ20" s="2" t="s">
        <v>133</v>
      </c>
      <c r="AS20" s="2" t="s">
        <v>133</v>
      </c>
      <c r="AT20" s="2" t="s">
        <v>133</v>
      </c>
      <c r="AV20" s="2" t="s">
        <v>133</v>
      </c>
      <c r="AY20" s="2" t="s">
        <v>133</v>
      </c>
      <c r="BB20" s="2" t="s">
        <v>133</v>
      </c>
      <c r="BE20" s="2" t="s">
        <v>133</v>
      </c>
      <c r="BH20" s="2" t="s">
        <v>133</v>
      </c>
      <c r="BK20" s="2" t="s">
        <v>133</v>
      </c>
      <c r="BN20" s="2" t="s">
        <v>133</v>
      </c>
      <c r="BQ20" s="2" t="s">
        <v>133</v>
      </c>
      <c r="BT20" s="2" t="s">
        <v>353</v>
      </c>
      <c r="BU20" s="2" t="s">
        <v>354</v>
      </c>
      <c r="BV20">
        <v>2515</v>
      </c>
      <c r="BW20">
        <v>1</v>
      </c>
      <c r="BX20" s="2" t="s">
        <v>355</v>
      </c>
      <c r="BY20" s="2" t="s">
        <v>356</v>
      </c>
      <c r="BZ20">
        <v>16000026</v>
      </c>
      <c r="CA20" s="2" t="s">
        <v>204</v>
      </c>
      <c r="CB20">
        <v>3</v>
      </c>
      <c r="CC20">
        <v>8</v>
      </c>
      <c r="CD20" s="2" t="s">
        <v>148</v>
      </c>
      <c r="CE20">
        <v>7</v>
      </c>
      <c r="CF20">
        <v>11</v>
      </c>
      <c r="CG20" s="2" t="s">
        <v>154</v>
      </c>
      <c r="CH20">
        <v>6</v>
      </c>
      <c r="CI20">
        <v>8</v>
      </c>
      <c r="CJ20" s="2" t="s">
        <v>147</v>
      </c>
      <c r="CK20">
        <v>8</v>
      </c>
      <c r="CL20">
        <v>11</v>
      </c>
      <c r="CM20" s="2" t="s">
        <v>139</v>
      </c>
      <c r="CN20">
        <v>8</v>
      </c>
      <c r="CO20">
        <v>11</v>
      </c>
      <c r="CP20" s="2" t="s">
        <v>160</v>
      </c>
      <c r="CQ20">
        <v>1</v>
      </c>
      <c r="CR20">
        <v>5</v>
      </c>
      <c r="CS20" s="2" t="s">
        <v>183</v>
      </c>
      <c r="CT20">
        <v>1</v>
      </c>
      <c r="CU20">
        <v>5</v>
      </c>
      <c r="CV20" s="2" t="s">
        <v>158</v>
      </c>
      <c r="CW20">
        <v>1</v>
      </c>
      <c r="CX20">
        <v>5</v>
      </c>
      <c r="CY20" s="2" t="s">
        <v>133</v>
      </c>
      <c r="CZ20" s="2" t="s">
        <v>133</v>
      </c>
      <c r="DA20" s="2" t="s">
        <v>133</v>
      </c>
      <c r="DC20" s="2" t="s">
        <v>133</v>
      </c>
      <c r="DD20" s="2" t="s">
        <v>133</v>
      </c>
      <c r="DF20" s="2" t="s">
        <v>133</v>
      </c>
      <c r="DI20" s="2" t="s">
        <v>133</v>
      </c>
      <c r="DL20" s="2" t="s">
        <v>133</v>
      </c>
      <c r="DO20" s="2" t="s">
        <v>133</v>
      </c>
      <c r="DR20" s="2" t="s">
        <v>133</v>
      </c>
      <c r="DU20" s="2" t="s">
        <v>133</v>
      </c>
      <c r="DX20" s="2" t="s">
        <v>133</v>
      </c>
      <c r="EA20" s="2" t="s">
        <v>133</v>
      </c>
      <c r="ED20" t="str">
        <f t="shared" si="0"/>
        <v>L</v>
      </c>
      <c r="EE20">
        <f t="shared" si="1"/>
        <v>-1</v>
      </c>
    </row>
    <row r="21" spans="1:135" x14ac:dyDescent="0.2">
      <c r="A21" s="2" t="s">
        <v>285</v>
      </c>
      <c r="B21" s="1">
        <v>43313.620509259257</v>
      </c>
      <c r="D21">
        <v>54000001</v>
      </c>
      <c r="E21" s="2" t="s">
        <v>228</v>
      </c>
      <c r="F21">
        <v>72000023</v>
      </c>
      <c r="G21" s="2" t="s">
        <v>286</v>
      </c>
      <c r="I21" s="2" t="s">
        <v>134</v>
      </c>
      <c r="J21" s="2" t="s">
        <v>357</v>
      </c>
      <c r="K21" s="2" t="s">
        <v>358</v>
      </c>
      <c r="M21">
        <v>1</v>
      </c>
      <c r="N21" s="2" t="s">
        <v>359</v>
      </c>
      <c r="O21" s="2" t="s">
        <v>360</v>
      </c>
      <c r="P21">
        <v>16000030</v>
      </c>
      <c r="Q21" s="2" t="s">
        <v>195</v>
      </c>
      <c r="R21">
        <v>2</v>
      </c>
      <c r="S21">
        <v>8</v>
      </c>
      <c r="T21" s="2" t="s">
        <v>159</v>
      </c>
      <c r="U21">
        <v>3</v>
      </c>
      <c r="V21">
        <v>8</v>
      </c>
      <c r="W21" s="2" t="s">
        <v>201</v>
      </c>
      <c r="X21">
        <v>4</v>
      </c>
      <c r="Y21">
        <v>11</v>
      </c>
      <c r="Z21" s="2" t="s">
        <v>164</v>
      </c>
      <c r="AA21">
        <v>6</v>
      </c>
      <c r="AB21">
        <v>13</v>
      </c>
      <c r="AC21" s="2" t="s">
        <v>153</v>
      </c>
      <c r="AD21">
        <v>1</v>
      </c>
      <c r="AE21">
        <v>5</v>
      </c>
      <c r="AF21" s="2" t="s">
        <v>178</v>
      </c>
      <c r="AG21">
        <v>3</v>
      </c>
      <c r="AH21">
        <v>8</v>
      </c>
      <c r="AI21" s="2" t="s">
        <v>148</v>
      </c>
      <c r="AJ21">
        <v>5</v>
      </c>
      <c r="AK21">
        <v>11</v>
      </c>
      <c r="AL21" s="2" t="s">
        <v>197</v>
      </c>
      <c r="AM21">
        <v>6</v>
      </c>
      <c r="AN21">
        <v>13</v>
      </c>
      <c r="AO21" s="2" t="s">
        <v>135</v>
      </c>
      <c r="AP21" s="2" t="s">
        <v>136</v>
      </c>
      <c r="AQ21" s="2" t="s">
        <v>133</v>
      </c>
      <c r="AR21">
        <v>1</v>
      </c>
      <c r="AS21" s="2" t="s">
        <v>137</v>
      </c>
      <c r="AT21" s="2" t="s">
        <v>138</v>
      </c>
      <c r="AU21">
        <v>16000171</v>
      </c>
      <c r="AV21" s="2" t="s">
        <v>219</v>
      </c>
      <c r="AW21">
        <v>1</v>
      </c>
      <c r="AX21">
        <v>5</v>
      </c>
      <c r="AY21" s="2" t="s">
        <v>142</v>
      </c>
      <c r="AZ21">
        <v>9</v>
      </c>
      <c r="BA21">
        <v>13</v>
      </c>
      <c r="BB21" s="2" t="s">
        <v>165</v>
      </c>
      <c r="BC21">
        <v>8</v>
      </c>
      <c r="BD21">
        <v>13</v>
      </c>
      <c r="BE21" s="2" t="s">
        <v>146</v>
      </c>
      <c r="BF21">
        <v>10</v>
      </c>
      <c r="BG21">
        <v>13</v>
      </c>
      <c r="BH21" s="2" t="s">
        <v>145</v>
      </c>
      <c r="BI21">
        <v>4</v>
      </c>
      <c r="BJ21">
        <v>8</v>
      </c>
      <c r="BK21" s="2" t="s">
        <v>222</v>
      </c>
      <c r="BL21">
        <v>9</v>
      </c>
      <c r="BM21">
        <v>13</v>
      </c>
      <c r="BN21" s="2" t="s">
        <v>170</v>
      </c>
      <c r="BO21">
        <v>7</v>
      </c>
      <c r="BP21">
        <v>11</v>
      </c>
      <c r="BQ21" s="2" t="s">
        <v>197</v>
      </c>
      <c r="BR21">
        <v>8</v>
      </c>
      <c r="BS21">
        <v>13</v>
      </c>
      <c r="BT21" s="2" t="s">
        <v>361</v>
      </c>
      <c r="BU21" s="2" t="s">
        <v>362</v>
      </c>
      <c r="BW21">
        <v>3</v>
      </c>
      <c r="BX21" s="2" t="s">
        <v>363</v>
      </c>
      <c r="BY21" s="2" t="s">
        <v>364</v>
      </c>
      <c r="BZ21">
        <v>16000029</v>
      </c>
      <c r="CA21" s="2" t="s">
        <v>159</v>
      </c>
      <c r="CB21">
        <v>5</v>
      </c>
      <c r="CC21">
        <v>8</v>
      </c>
      <c r="CD21" s="2" t="s">
        <v>204</v>
      </c>
      <c r="CE21">
        <v>4</v>
      </c>
      <c r="CF21">
        <v>8</v>
      </c>
      <c r="CG21" s="2" t="s">
        <v>179</v>
      </c>
      <c r="CH21">
        <v>4</v>
      </c>
      <c r="CI21">
        <v>8</v>
      </c>
      <c r="CJ21" s="2" t="s">
        <v>153</v>
      </c>
      <c r="CK21">
        <v>2</v>
      </c>
      <c r="CL21">
        <v>5</v>
      </c>
      <c r="CM21" s="2" t="s">
        <v>147</v>
      </c>
      <c r="CN21">
        <v>7</v>
      </c>
      <c r="CO21">
        <v>11</v>
      </c>
      <c r="CP21" s="2" t="s">
        <v>186</v>
      </c>
      <c r="CQ21">
        <v>4</v>
      </c>
      <c r="CR21">
        <v>8</v>
      </c>
      <c r="CS21" s="2" t="s">
        <v>183</v>
      </c>
      <c r="CT21">
        <v>1</v>
      </c>
      <c r="CU21">
        <v>5</v>
      </c>
      <c r="CV21" s="2" t="s">
        <v>177</v>
      </c>
      <c r="CW21">
        <v>7</v>
      </c>
      <c r="CX21">
        <v>11</v>
      </c>
      <c r="CY21" s="2" t="s">
        <v>365</v>
      </c>
      <c r="CZ21" s="2" t="s">
        <v>366</v>
      </c>
      <c r="DA21" s="2" t="s">
        <v>133</v>
      </c>
      <c r="DB21">
        <v>3</v>
      </c>
      <c r="DC21" s="2" t="s">
        <v>367</v>
      </c>
      <c r="DD21" s="2" t="s">
        <v>368</v>
      </c>
      <c r="DE21">
        <v>16000043</v>
      </c>
      <c r="DF21" s="2" t="s">
        <v>153</v>
      </c>
      <c r="DG21">
        <v>1</v>
      </c>
      <c r="DH21">
        <v>5</v>
      </c>
      <c r="DI21" s="2" t="s">
        <v>199</v>
      </c>
      <c r="DJ21">
        <v>2</v>
      </c>
      <c r="DK21">
        <v>5</v>
      </c>
      <c r="DL21" s="2" t="s">
        <v>163</v>
      </c>
      <c r="DM21">
        <v>7</v>
      </c>
      <c r="DN21">
        <v>11</v>
      </c>
      <c r="DO21" s="2" t="s">
        <v>166</v>
      </c>
      <c r="DP21">
        <v>2</v>
      </c>
      <c r="DQ21">
        <v>5</v>
      </c>
      <c r="DR21" s="2" t="s">
        <v>173</v>
      </c>
      <c r="DS21">
        <v>3</v>
      </c>
      <c r="DT21">
        <v>8</v>
      </c>
      <c r="DU21" s="2" t="s">
        <v>152</v>
      </c>
      <c r="DV21">
        <v>9</v>
      </c>
      <c r="DW21">
        <v>13</v>
      </c>
      <c r="DX21" s="2" t="s">
        <v>148</v>
      </c>
      <c r="DY21">
        <v>6</v>
      </c>
      <c r="DZ21">
        <v>11</v>
      </c>
      <c r="EA21" s="2" t="s">
        <v>205</v>
      </c>
      <c r="EB21">
        <v>4</v>
      </c>
      <c r="EC21">
        <v>8</v>
      </c>
      <c r="ED21" t="str">
        <f t="shared" si="0"/>
        <v>L</v>
      </c>
      <c r="EE21">
        <f t="shared" si="1"/>
        <v>-2</v>
      </c>
    </row>
    <row r="22" spans="1:135" x14ac:dyDescent="0.2">
      <c r="A22" s="2" t="s">
        <v>285</v>
      </c>
      <c r="B22" s="1">
        <v>43313.618483796294</v>
      </c>
      <c r="D22">
        <v>54000004</v>
      </c>
      <c r="E22" s="2" t="s">
        <v>155</v>
      </c>
      <c r="F22">
        <v>72000023</v>
      </c>
      <c r="G22" s="2" t="s">
        <v>286</v>
      </c>
      <c r="I22" s="2" t="s">
        <v>134</v>
      </c>
      <c r="J22" s="2" t="s">
        <v>369</v>
      </c>
      <c r="K22" s="2" t="s">
        <v>370</v>
      </c>
      <c r="M22">
        <v>1</v>
      </c>
      <c r="N22" s="2" t="s">
        <v>371</v>
      </c>
      <c r="O22" s="2" t="s">
        <v>372</v>
      </c>
      <c r="P22">
        <v>16000063</v>
      </c>
      <c r="Q22" s="2" t="s">
        <v>183</v>
      </c>
      <c r="R22">
        <v>1</v>
      </c>
      <c r="S22">
        <v>5</v>
      </c>
      <c r="T22" s="2" t="s">
        <v>204</v>
      </c>
      <c r="U22">
        <v>3</v>
      </c>
      <c r="V22">
        <v>8</v>
      </c>
      <c r="W22" s="2" t="s">
        <v>178</v>
      </c>
      <c r="X22">
        <v>3</v>
      </c>
      <c r="Y22">
        <v>8</v>
      </c>
      <c r="Z22" s="2" t="s">
        <v>158</v>
      </c>
      <c r="AA22">
        <v>1</v>
      </c>
      <c r="AB22">
        <v>5</v>
      </c>
      <c r="AC22" s="2" t="s">
        <v>153</v>
      </c>
      <c r="AD22">
        <v>1</v>
      </c>
      <c r="AE22">
        <v>5</v>
      </c>
      <c r="AF22" s="2" t="s">
        <v>147</v>
      </c>
      <c r="AG22">
        <v>6</v>
      </c>
      <c r="AH22">
        <v>11</v>
      </c>
      <c r="AI22" s="2" t="s">
        <v>146</v>
      </c>
      <c r="AJ22">
        <v>9</v>
      </c>
      <c r="AK22">
        <v>13</v>
      </c>
      <c r="AL22" s="2" t="s">
        <v>188</v>
      </c>
      <c r="AM22">
        <v>3</v>
      </c>
      <c r="AN22">
        <v>8</v>
      </c>
      <c r="AO22" s="2" t="s">
        <v>135</v>
      </c>
      <c r="AP22" s="2" t="s">
        <v>136</v>
      </c>
      <c r="AQ22" s="2" t="s">
        <v>133</v>
      </c>
      <c r="AR22">
        <v>1</v>
      </c>
      <c r="AS22" s="2" t="s">
        <v>137</v>
      </c>
      <c r="AT22" s="2" t="s">
        <v>138</v>
      </c>
      <c r="AU22">
        <v>16000171</v>
      </c>
      <c r="AV22" s="2" t="s">
        <v>219</v>
      </c>
      <c r="AW22">
        <v>1</v>
      </c>
      <c r="AX22">
        <v>5</v>
      </c>
      <c r="AY22" s="2" t="s">
        <v>142</v>
      </c>
      <c r="AZ22">
        <v>9</v>
      </c>
      <c r="BA22">
        <v>13</v>
      </c>
      <c r="BB22" s="2" t="s">
        <v>165</v>
      </c>
      <c r="BC22">
        <v>8</v>
      </c>
      <c r="BD22">
        <v>13</v>
      </c>
      <c r="BE22" s="2" t="s">
        <v>146</v>
      </c>
      <c r="BF22">
        <v>10</v>
      </c>
      <c r="BG22">
        <v>13</v>
      </c>
      <c r="BH22" s="2" t="s">
        <v>145</v>
      </c>
      <c r="BI22">
        <v>4</v>
      </c>
      <c r="BJ22">
        <v>8</v>
      </c>
      <c r="BK22" s="2" t="s">
        <v>222</v>
      </c>
      <c r="BL22">
        <v>9</v>
      </c>
      <c r="BM22">
        <v>13</v>
      </c>
      <c r="BN22" s="2" t="s">
        <v>170</v>
      </c>
      <c r="BO22">
        <v>7</v>
      </c>
      <c r="BP22">
        <v>11</v>
      </c>
      <c r="BQ22" s="2" t="s">
        <v>197</v>
      </c>
      <c r="BR22">
        <v>8</v>
      </c>
      <c r="BS22">
        <v>13</v>
      </c>
      <c r="BT22" s="2" t="s">
        <v>373</v>
      </c>
      <c r="BU22" s="2" t="s">
        <v>374</v>
      </c>
      <c r="BW22">
        <v>2</v>
      </c>
      <c r="BX22" s="2" t="s">
        <v>375</v>
      </c>
      <c r="BY22" s="2" t="s">
        <v>376</v>
      </c>
      <c r="BZ22">
        <v>16000032</v>
      </c>
      <c r="CA22" s="2" t="s">
        <v>246</v>
      </c>
      <c r="CB22">
        <v>4</v>
      </c>
      <c r="CC22">
        <v>8</v>
      </c>
      <c r="CD22" s="2" t="s">
        <v>158</v>
      </c>
      <c r="CE22">
        <v>1</v>
      </c>
      <c r="CF22">
        <v>5</v>
      </c>
      <c r="CG22" s="2" t="s">
        <v>148</v>
      </c>
      <c r="CH22">
        <v>6</v>
      </c>
      <c r="CI22">
        <v>11</v>
      </c>
      <c r="CJ22" s="2" t="s">
        <v>146</v>
      </c>
      <c r="CK22">
        <v>8</v>
      </c>
      <c r="CL22">
        <v>13</v>
      </c>
      <c r="CM22" s="2" t="s">
        <v>204</v>
      </c>
      <c r="CN22">
        <v>3</v>
      </c>
      <c r="CO22">
        <v>8</v>
      </c>
      <c r="CP22" s="2" t="s">
        <v>188</v>
      </c>
      <c r="CQ22">
        <v>3</v>
      </c>
      <c r="CR22">
        <v>8</v>
      </c>
      <c r="CS22" s="2" t="s">
        <v>145</v>
      </c>
      <c r="CT22">
        <v>3</v>
      </c>
      <c r="CU22">
        <v>8</v>
      </c>
      <c r="CV22" s="2" t="s">
        <v>186</v>
      </c>
      <c r="CW22">
        <v>3</v>
      </c>
      <c r="CX22">
        <v>8</v>
      </c>
      <c r="CY22" s="2" t="s">
        <v>377</v>
      </c>
      <c r="CZ22" s="2" t="s">
        <v>378</v>
      </c>
      <c r="DA22" s="2" t="s">
        <v>133</v>
      </c>
      <c r="DB22">
        <v>2</v>
      </c>
      <c r="DC22" s="2" t="s">
        <v>379</v>
      </c>
      <c r="DD22" s="2" t="s">
        <v>380</v>
      </c>
      <c r="DE22">
        <v>16000168</v>
      </c>
      <c r="DF22" s="2" t="s">
        <v>203</v>
      </c>
      <c r="DG22">
        <v>5</v>
      </c>
      <c r="DH22">
        <v>11</v>
      </c>
      <c r="DI22" s="2" t="s">
        <v>149</v>
      </c>
      <c r="DJ22">
        <v>6</v>
      </c>
      <c r="DK22">
        <v>11</v>
      </c>
      <c r="DL22" s="2" t="s">
        <v>201</v>
      </c>
      <c r="DM22">
        <v>4</v>
      </c>
      <c r="DN22">
        <v>11</v>
      </c>
      <c r="DO22" s="2" t="s">
        <v>187</v>
      </c>
      <c r="DP22">
        <v>9</v>
      </c>
      <c r="DQ22">
        <v>13</v>
      </c>
      <c r="DR22" s="2" t="s">
        <v>204</v>
      </c>
      <c r="DS22">
        <v>3</v>
      </c>
      <c r="DT22">
        <v>8</v>
      </c>
      <c r="DU22" s="2" t="s">
        <v>196</v>
      </c>
      <c r="DV22">
        <v>4</v>
      </c>
      <c r="DW22">
        <v>8</v>
      </c>
      <c r="DX22" s="2" t="s">
        <v>144</v>
      </c>
      <c r="DY22">
        <v>8</v>
      </c>
      <c r="DZ22">
        <v>13</v>
      </c>
      <c r="EA22" s="2" t="s">
        <v>164</v>
      </c>
      <c r="EB22">
        <v>8</v>
      </c>
      <c r="EC22">
        <v>13</v>
      </c>
      <c r="ED22" t="str">
        <f t="shared" si="0"/>
        <v>L</v>
      </c>
      <c r="EE22">
        <f t="shared" si="1"/>
        <v>-1</v>
      </c>
    </row>
    <row r="23" spans="1:135" x14ac:dyDescent="0.2">
      <c r="A23" s="2" t="s">
        <v>285</v>
      </c>
      <c r="B23" s="1">
        <v>43313.260949074072</v>
      </c>
      <c r="D23">
        <v>54000006</v>
      </c>
      <c r="E23" s="2" t="s">
        <v>171</v>
      </c>
      <c r="F23">
        <v>72000023</v>
      </c>
      <c r="G23" s="2" t="s">
        <v>286</v>
      </c>
      <c r="I23" s="2" t="s">
        <v>134</v>
      </c>
      <c r="J23" s="2" t="s">
        <v>135</v>
      </c>
      <c r="K23" s="2" t="s">
        <v>136</v>
      </c>
      <c r="M23">
        <v>0</v>
      </c>
      <c r="N23" s="2" t="s">
        <v>137</v>
      </c>
      <c r="O23" s="2" t="s">
        <v>138</v>
      </c>
      <c r="P23">
        <v>16000171</v>
      </c>
      <c r="Q23" s="2" t="s">
        <v>219</v>
      </c>
      <c r="R23">
        <v>1</v>
      </c>
      <c r="S23">
        <v>5</v>
      </c>
      <c r="T23" s="2" t="s">
        <v>142</v>
      </c>
      <c r="U23">
        <v>9</v>
      </c>
      <c r="V23">
        <v>13</v>
      </c>
      <c r="W23" s="2" t="s">
        <v>165</v>
      </c>
      <c r="X23">
        <v>7</v>
      </c>
      <c r="Y23">
        <v>13</v>
      </c>
      <c r="Z23" s="2" t="s">
        <v>146</v>
      </c>
      <c r="AA23">
        <v>10</v>
      </c>
      <c r="AB23">
        <v>13</v>
      </c>
      <c r="AC23" s="2" t="s">
        <v>145</v>
      </c>
      <c r="AD23">
        <v>4</v>
      </c>
      <c r="AE23">
        <v>8</v>
      </c>
      <c r="AF23" s="2" t="s">
        <v>222</v>
      </c>
      <c r="AG23">
        <v>9</v>
      </c>
      <c r="AH23">
        <v>13</v>
      </c>
      <c r="AI23" s="2" t="s">
        <v>170</v>
      </c>
      <c r="AJ23">
        <v>7</v>
      </c>
      <c r="AK23">
        <v>11</v>
      </c>
      <c r="AL23" s="2" t="s">
        <v>197</v>
      </c>
      <c r="AM23">
        <v>8</v>
      </c>
      <c r="AN23">
        <v>13</v>
      </c>
      <c r="AO23" s="2" t="s">
        <v>381</v>
      </c>
      <c r="AP23" s="2" t="s">
        <v>382</v>
      </c>
      <c r="AQ23" s="2" t="s">
        <v>133</v>
      </c>
      <c r="AR23">
        <v>0</v>
      </c>
      <c r="AS23" s="2" t="s">
        <v>383</v>
      </c>
      <c r="AT23" s="2" t="s">
        <v>384</v>
      </c>
      <c r="AU23">
        <v>16000128</v>
      </c>
      <c r="AV23" s="2" t="s">
        <v>177</v>
      </c>
      <c r="AW23">
        <v>4</v>
      </c>
      <c r="AX23">
        <v>11</v>
      </c>
      <c r="AY23" s="2" t="s">
        <v>154</v>
      </c>
      <c r="AZ23">
        <v>4</v>
      </c>
      <c r="BA23">
        <v>8</v>
      </c>
      <c r="BB23" s="2" t="s">
        <v>148</v>
      </c>
      <c r="BC23">
        <v>6</v>
      </c>
      <c r="BD23">
        <v>11</v>
      </c>
      <c r="BE23" s="2" t="s">
        <v>139</v>
      </c>
      <c r="BF23">
        <v>6</v>
      </c>
      <c r="BG23">
        <v>11</v>
      </c>
      <c r="BH23" s="2" t="s">
        <v>147</v>
      </c>
      <c r="BI23">
        <v>6</v>
      </c>
      <c r="BJ23">
        <v>11</v>
      </c>
      <c r="BK23" s="2" t="s">
        <v>204</v>
      </c>
      <c r="BL23">
        <v>3</v>
      </c>
      <c r="BM23">
        <v>8</v>
      </c>
      <c r="BN23" s="2" t="s">
        <v>195</v>
      </c>
      <c r="BO23">
        <v>4</v>
      </c>
      <c r="BP23">
        <v>8</v>
      </c>
      <c r="BQ23" s="2" t="s">
        <v>201</v>
      </c>
      <c r="BR23">
        <v>4</v>
      </c>
      <c r="BS23">
        <v>11</v>
      </c>
      <c r="BT23" s="2" t="s">
        <v>385</v>
      </c>
      <c r="BU23" s="2" t="s">
        <v>386</v>
      </c>
      <c r="BW23">
        <v>1</v>
      </c>
      <c r="BX23" s="2" t="s">
        <v>387</v>
      </c>
      <c r="BY23" s="2" t="s">
        <v>388</v>
      </c>
      <c r="BZ23">
        <v>16000038</v>
      </c>
      <c r="CA23" s="2" t="s">
        <v>197</v>
      </c>
      <c r="CB23">
        <v>9</v>
      </c>
      <c r="CC23">
        <v>13</v>
      </c>
      <c r="CD23" s="2" t="s">
        <v>188</v>
      </c>
      <c r="CE23">
        <v>3</v>
      </c>
      <c r="CF23">
        <v>8</v>
      </c>
      <c r="CG23" s="2" t="s">
        <v>148</v>
      </c>
      <c r="CH23">
        <v>6</v>
      </c>
      <c r="CI23">
        <v>11</v>
      </c>
      <c r="CJ23" s="2" t="s">
        <v>202</v>
      </c>
      <c r="CK23">
        <v>9</v>
      </c>
      <c r="CL23">
        <v>13</v>
      </c>
      <c r="CM23" s="2" t="s">
        <v>204</v>
      </c>
      <c r="CN23">
        <v>5</v>
      </c>
      <c r="CO23">
        <v>8</v>
      </c>
      <c r="CP23" s="2" t="s">
        <v>180</v>
      </c>
      <c r="CQ23">
        <v>9</v>
      </c>
      <c r="CR23">
        <v>13</v>
      </c>
      <c r="CS23" s="2" t="s">
        <v>147</v>
      </c>
      <c r="CT23">
        <v>8</v>
      </c>
      <c r="CU23">
        <v>11</v>
      </c>
      <c r="CV23" s="2" t="s">
        <v>175</v>
      </c>
      <c r="CW23">
        <v>1</v>
      </c>
      <c r="CX23">
        <v>5</v>
      </c>
      <c r="CY23" s="2" t="s">
        <v>389</v>
      </c>
      <c r="CZ23" s="2" t="s">
        <v>390</v>
      </c>
      <c r="DA23" s="2" t="s">
        <v>133</v>
      </c>
      <c r="DB23">
        <v>1</v>
      </c>
      <c r="DC23" s="2" t="s">
        <v>391</v>
      </c>
      <c r="DD23" s="2" t="s">
        <v>392</v>
      </c>
      <c r="DE23">
        <v>16000061</v>
      </c>
      <c r="DF23" s="2" t="s">
        <v>188</v>
      </c>
      <c r="DG23">
        <v>4</v>
      </c>
      <c r="DH23">
        <v>8</v>
      </c>
      <c r="DI23" s="2" t="s">
        <v>197</v>
      </c>
      <c r="DJ23">
        <v>9</v>
      </c>
      <c r="DK23">
        <v>13</v>
      </c>
      <c r="DL23" s="2" t="s">
        <v>159</v>
      </c>
      <c r="DM23">
        <v>4</v>
      </c>
      <c r="DN23">
        <v>8</v>
      </c>
      <c r="DO23" s="2" t="s">
        <v>148</v>
      </c>
      <c r="DP23">
        <v>7</v>
      </c>
      <c r="DQ23">
        <v>11</v>
      </c>
      <c r="DR23" s="2" t="s">
        <v>160</v>
      </c>
      <c r="DS23">
        <v>1</v>
      </c>
      <c r="DT23">
        <v>5</v>
      </c>
      <c r="DU23" s="2" t="s">
        <v>139</v>
      </c>
      <c r="DV23">
        <v>6</v>
      </c>
      <c r="DW23">
        <v>11</v>
      </c>
      <c r="DX23" s="2" t="s">
        <v>156</v>
      </c>
      <c r="DY23">
        <v>7</v>
      </c>
      <c r="DZ23">
        <v>11</v>
      </c>
      <c r="EA23" s="2" t="s">
        <v>147</v>
      </c>
      <c r="EB23">
        <v>7</v>
      </c>
      <c r="EC23">
        <v>11</v>
      </c>
      <c r="ED23" t="str">
        <f t="shared" si="0"/>
        <v>L</v>
      </c>
      <c r="EE23">
        <f t="shared" si="1"/>
        <v>-1</v>
      </c>
    </row>
    <row r="24" spans="1:135" x14ac:dyDescent="0.2">
      <c r="A24" s="2" t="s">
        <v>285</v>
      </c>
      <c r="B24" s="1">
        <v>43313.217511574076</v>
      </c>
      <c r="D24">
        <v>54000008</v>
      </c>
      <c r="E24" s="2" t="s">
        <v>207</v>
      </c>
      <c r="F24">
        <v>72000023</v>
      </c>
      <c r="G24" s="2" t="s">
        <v>286</v>
      </c>
      <c r="I24" s="2" t="s">
        <v>134</v>
      </c>
      <c r="J24" s="2" t="s">
        <v>135</v>
      </c>
      <c r="K24" s="2" t="s">
        <v>136</v>
      </c>
      <c r="M24">
        <v>1</v>
      </c>
      <c r="N24" s="2" t="s">
        <v>137</v>
      </c>
      <c r="O24" s="2" t="s">
        <v>138</v>
      </c>
      <c r="P24">
        <v>16000171</v>
      </c>
      <c r="Q24" s="2" t="s">
        <v>149</v>
      </c>
      <c r="R24">
        <v>7</v>
      </c>
      <c r="S24">
        <v>11</v>
      </c>
      <c r="T24" s="2" t="s">
        <v>142</v>
      </c>
      <c r="U24">
        <v>9</v>
      </c>
      <c r="V24">
        <v>13</v>
      </c>
      <c r="W24" s="2" t="s">
        <v>165</v>
      </c>
      <c r="X24">
        <v>7</v>
      </c>
      <c r="Y24">
        <v>13</v>
      </c>
      <c r="Z24" s="2" t="s">
        <v>146</v>
      </c>
      <c r="AA24">
        <v>10</v>
      </c>
      <c r="AB24">
        <v>13</v>
      </c>
      <c r="AC24" s="2" t="s">
        <v>145</v>
      </c>
      <c r="AD24">
        <v>4</v>
      </c>
      <c r="AE24">
        <v>8</v>
      </c>
      <c r="AF24" s="2" t="s">
        <v>222</v>
      </c>
      <c r="AG24">
        <v>9</v>
      </c>
      <c r="AH24">
        <v>13</v>
      </c>
      <c r="AI24" s="2" t="s">
        <v>170</v>
      </c>
      <c r="AJ24">
        <v>7</v>
      </c>
      <c r="AK24">
        <v>11</v>
      </c>
      <c r="AL24" s="2" t="s">
        <v>197</v>
      </c>
      <c r="AM24">
        <v>8</v>
      </c>
      <c r="AN24">
        <v>13</v>
      </c>
      <c r="AO24" s="2" t="s">
        <v>393</v>
      </c>
      <c r="AP24" s="2" t="s">
        <v>394</v>
      </c>
      <c r="AQ24" s="2" t="s">
        <v>133</v>
      </c>
      <c r="AR24">
        <v>1</v>
      </c>
      <c r="AS24" s="2" t="s">
        <v>395</v>
      </c>
      <c r="AT24" s="2" t="s">
        <v>396</v>
      </c>
      <c r="AU24">
        <v>16000044</v>
      </c>
      <c r="AV24" s="2" t="s">
        <v>176</v>
      </c>
      <c r="AW24">
        <v>5</v>
      </c>
      <c r="AX24">
        <v>8</v>
      </c>
      <c r="AY24" s="2" t="s">
        <v>224</v>
      </c>
      <c r="AZ24">
        <v>8</v>
      </c>
      <c r="BA24">
        <v>11</v>
      </c>
      <c r="BB24" s="2" t="s">
        <v>189</v>
      </c>
      <c r="BC24">
        <v>7</v>
      </c>
      <c r="BD24">
        <v>11</v>
      </c>
      <c r="BE24" s="2" t="s">
        <v>197</v>
      </c>
      <c r="BF24">
        <v>10</v>
      </c>
      <c r="BG24">
        <v>13</v>
      </c>
      <c r="BH24" s="2" t="s">
        <v>148</v>
      </c>
      <c r="BI24">
        <v>7</v>
      </c>
      <c r="BJ24">
        <v>11</v>
      </c>
      <c r="BK24" s="2" t="s">
        <v>186</v>
      </c>
      <c r="BL24">
        <v>4</v>
      </c>
      <c r="BM24">
        <v>8</v>
      </c>
      <c r="BN24" s="2" t="s">
        <v>179</v>
      </c>
      <c r="BO24">
        <v>5</v>
      </c>
      <c r="BP24">
        <v>8</v>
      </c>
      <c r="BQ24" s="2" t="s">
        <v>175</v>
      </c>
      <c r="BR24">
        <v>2</v>
      </c>
      <c r="BS24">
        <v>5</v>
      </c>
      <c r="BT24" s="2" t="s">
        <v>397</v>
      </c>
      <c r="BU24" s="2" t="s">
        <v>398</v>
      </c>
      <c r="BW24">
        <v>2</v>
      </c>
      <c r="BX24" s="2" t="s">
        <v>133</v>
      </c>
      <c r="BY24" s="2" t="s">
        <v>133</v>
      </c>
      <c r="CA24" s="2" t="s">
        <v>175</v>
      </c>
      <c r="CB24">
        <v>1</v>
      </c>
      <c r="CC24">
        <v>5</v>
      </c>
      <c r="CD24" s="2" t="s">
        <v>179</v>
      </c>
      <c r="CE24">
        <v>4</v>
      </c>
      <c r="CF24">
        <v>8</v>
      </c>
      <c r="CG24" s="2" t="s">
        <v>147</v>
      </c>
      <c r="CH24">
        <v>7</v>
      </c>
      <c r="CI24">
        <v>11</v>
      </c>
      <c r="CJ24" s="2" t="s">
        <v>188</v>
      </c>
      <c r="CK24">
        <v>4</v>
      </c>
      <c r="CL24">
        <v>8</v>
      </c>
      <c r="CM24" s="2" t="s">
        <v>202</v>
      </c>
      <c r="CN24">
        <v>10</v>
      </c>
      <c r="CO24">
        <v>13</v>
      </c>
      <c r="CP24" s="2" t="s">
        <v>180</v>
      </c>
      <c r="CQ24">
        <v>9</v>
      </c>
      <c r="CR24">
        <v>13</v>
      </c>
      <c r="CS24" s="2" t="s">
        <v>204</v>
      </c>
      <c r="CT24">
        <v>5</v>
      </c>
      <c r="CU24">
        <v>8</v>
      </c>
      <c r="CV24" s="2" t="s">
        <v>148</v>
      </c>
      <c r="CW24">
        <v>6</v>
      </c>
      <c r="CX24">
        <v>11</v>
      </c>
      <c r="CY24" s="2" t="s">
        <v>399</v>
      </c>
      <c r="CZ24" s="2" t="s">
        <v>237</v>
      </c>
      <c r="DA24" s="2" t="s">
        <v>133</v>
      </c>
      <c r="DB24">
        <v>2</v>
      </c>
      <c r="DC24" s="2" t="s">
        <v>400</v>
      </c>
      <c r="DD24" s="2" t="s">
        <v>401</v>
      </c>
      <c r="DE24">
        <v>16000148</v>
      </c>
      <c r="DF24" s="2" t="s">
        <v>139</v>
      </c>
      <c r="DG24">
        <v>5</v>
      </c>
      <c r="DH24">
        <v>11</v>
      </c>
      <c r="DI24" s="2" t="s">
        <v>197</v>
      </c>
      <c r="DJ24">
        <v>9</v>
      </c>
      <c r="DK24">
        <v>13</v>
      </c>
      <c r="DL24" s="2" t="s">
        <v>173</v>
      </c>
      <c r="DM24">
        <v>3</v>
      </c>
      <c r="DN24">
        <v>8</v>
      </c>
      <c r="DO24" s="2" t="s">
        <v>142</v>
      </c>
      <c r="DP24">
        <v>7</v>
      </c>
      <c r="DQ24">
        <v>13</v>
      </c>
      <c r="DR24" s="2" t="s">
        <v>167</v>
      </c>
      <c r="DS24">
        <v>8</v>
      </c>
      <c r="DT24">
        <v>13</v>
      </c>
      <c r="DU24" s="2" t="s">
        <v>149</v>
      </c>
      <c r="DV24">
        <v>7</v>
      </c>
      <c r="DW24">
        <v>11</v>
      </c>
      <c r="DX24" s="2" t="s">
        <v>178</v>
      </c>
      <c r="DY24">
        <v>3</v>
      </c>
      <c r="DZ24">
        <v>8</v>
      </c>
      <c r="EA24" s="2" t="s">
        <v>164</v>
      </c>
      <c r="EB24">
        <v>8</v>
      </c>
      <c r="EC24">
        <v>13</v>
      </c>
      <c r="ED24" t="str">
        <f t="shared" si="0"/>
        <v>L</v>
      </c>
      <c r="EE24">
        <f t="shared" si="1"/>
        <v>-1</v>
      </c>
    </row>
    <row r="25" spans="1:135" x14ac:dyDescent="0.2">
      <c r="A25" s="2" t="s">
        <v>285</v>
      </c>
      <c r="B25" s="1">
        <v>43313.213020833333</v>
      </c>
      <c r="D25">
        <v>54000002</v>
      </c>
      <c r="E25" s="2" t="s">
        <v>185</v>
      </c>
      <c r="F25">
        <v>72000023</v>
      </c>
      <c r="G25" s="2" t="s">
        <v>286</v>
      </c>
      <c r="I25" s="2" t="s">
        <v>134</v>
      </c>
      <c r="J25" s="2" t="s">
        <v>135</v>
      </c>
      <c r="K25" s="2" t="s">
        <v>136</v>
      </c>
      <c r="M25">
        <v>0</v>
      </c>
      <c r="N25" s="2" t="s">
        <v>137</v>
      </c>
      <c r="O25" s="2" t="s">
        <v>138</v>
      </c>
      <c r="P25">
        <v>16000171</v>
      </c>
      <c r="Q25" s="2" t="s">
        <v>149</v>
      </c>
      <c r="R25">
        <v>7</v>
      </c>
      <c r="S25">
        <v>11</v>
      </c>
      <c r="T25" s="2" t="s">
        <v>142</v>
      </c>
      <c r="U25">
        <v>9</v>
      </c>
      <c r="V25">
        <v>13</v>
      </c>
      <c r="W25" s="2" t="s">
        <v>165</v>
      </c>
      <c r="X25">
        <v>7</v>
      </c>
      <c r="Y25">
        <v>13</v>
      </c>
      <c r="Z25" s="2" t="s">
        <v>146</v>
      </c>
      <c r="AA25">
        <v>10</v>
      </c>
      <c r="AB25">
        <v>13</v>
      </c>
      <c r="AC25" s="2" t="s">
        <v>145</v>
      </c>
      <c r="AD25">
        <v>4</v>
      </c>
      <c r="AE25">
        <v>8</v>
      </c>
      <c r="AF25" s="2" t="s">
        <v>222</v>
      </c>
      <c r="AG25">
        <v>9</v>
      </c>
      <c r="AH25">
        <v>13</v>
      </c>
      <c r="AI25" s="2" t="s">
        <v>170</v>
      </c>
      <c r="AJ25">
        <v>7</v>
      </c>
      <c r="AK25">
        <v>11</v>
      </c>
      <c r="AL25" s="2" t="s">
        <v>197</v>
      </c>
      <c r="AM25">
        <v>8</v>
      </c>
      <c r="AN25">
        <v>13</v>
      </c>
      <c r="AO25" s="2" t="s">
        <v>402</v>
      </c>
      <c r="AP25" s="2" t="s">
        <v>403</v>
      </c>
      <c r="AQ25" s="2" t="s">
        <v>133</v>
      </c>
      <c r="AR25">
        <v>0</v>
      </c>
      <c r="AS25" s="2" t="s">
        <v>404</v>
      </c>
      <c r="AT25" s="2" t="s">
        <v>405</v>
      </c>
      <c r="AU25">
        <v>16000142</v>
      </c>
      <c r="AV25" s="2" t="s">
        <v>153</v>
      </c>
      <c r="AW25">
        <v>2</v>
      </c>
      <c r="AX25">
        <v>5</v>
      </c>
      <c r="AY25" s="2" t="s">
        <v>150</v>
      </c>
      <c r="AZ25">
        <v>6</v>
      </c>
      <c r="BA25">
        <v>11</v>
      </c>
      <c r="BB25" s="2" t="s">
        <v>179</v>
      </c>
      <c r="BC25">
        <v>5</v>
      </c>
      <c r="BD25">
        <v>8</v>
      </c>
      <c r="BE25" s="2" t="s">
        <v>188</v>
      </c>
      <c r="BF25">
        <v>3</v>
      </c>
      <c r="BG25">
        <v>8</v>
      </c>
      <c r="BH25" s="2" t="s">
        <v>186</v>
      </c>
      <c r="BI25">
        <v>4</v>
      </c>
      <c r="BJ25">
        <v>8</v>
      </c>
      <c r="BK25" s="2" t="s">
        <v>197</v>
      </c>
      <c r="BL25">
        <v>9</v>
      </c>
      <c r="BM25">
        <v>13</v>
      </c>
      <c r="BN25" s="2" t="s">
        <v>159</v>
      </c>
      <c r="BO25">
        <v>4</v>
      </c>
      <c r="BP25">
        <v>8</v>
      </c>
      <c r="BQ25" s="2" t="s">
        <v>147</v>
      </c>
      <c r="BR25">
        <v>7</v>
      </c>
      <c r="BS25">
        <v>11</v>
      </c>
      <c r="BT25" s="2" t="s">
        <v>406</v>
      </c>
      <c r="BU25" s="2" t="s">
        <v>407</v>
      </c>
      <c r="BW25">
        <v>3</v>
      </c>
      <c r="BX25" s="2" t="s">
        <v>408</v>
      </c>
      <c r="BY25" s="2" t="s">
        <v>409</v>
      </c>
      <c r="BZ25">
        <v>16000108</v>
      </c>
      <c r="CA25" s="2" t="s">
        <v>183</v>
      </c>
      <c r="CB25">
        <v>1</v>
      </c>
      <c r="CC25">
        <v>5</v>
      </c>
      <c r="CD25" s="2" t="s">
        <v>160</v>
      </c>
      <c r="CE25">
        <v>2</v>
      </c>
      <c r="CF25">
        <v>5</v>
      </c>
      <c r="CG25" s="2" t="s">
        <v>158</v>
      </c>
      <c r="CH25">
        <v>2</v>
      </c>
      <c r="CI25">
        <v>5</v>
      </c>
      <c r="CJ25" s="2" t="s">
        <v>139</v>
      </c>
      <c r="CK25">
        <v>7</v>
      </c>
      <c r="CL25">
        <v>11</v>
      </c>
      <c r="CM25" s="2" t="s">
        <v>182</v>
      </c>
      <c r="CN25">
        <v>2</v>
      </c>
      <c r="CO25">
        <v>5</v>
      </c>
      <c r="CP25" s="2" t="s">
        <v>169</v>
      </c>
      <c r="CQ25">
        <v>2</v>
      </c>
      <c r="CR25">
        <v>5</v>
      </c>
      <c r="CS25" s="2" t="s">
        <v>199</v>
      </c>
      <c r="CT25">
        <v>1</v>
      </c>
      <c r="CU25">
        <v>5</v>
      </c>
      <c r="CV25" s="2" t="s">
        <v>219</v>
      </c>
      <c r="CW25">
        <v>1</v>
      </c>
      <c r="CX25">
        <v>5</v>
      </c>
      <c r="CY25" s="2" t="s">
        <v>410</v>
      </c>
      <c r="CZ25" s="2" t="s">
        <v>411</v>
      </c>
      <c r="DA25" s="2" t="s">
        <v>133</v>
      </c>
      <c r="DB25">
        <v>3</v>
      </c>
      <c r="DC25" s="2" t="s">
        <v>412</v>
      </c>
      <c r="DD25" s="2" t="s">
        <v>413</v>
      </c>
      <c r="DE25">
        <v>16000044</v>
      </c>
      <c r="DF25" s="2" t="s">
        <v>175</v>
      </c>
      <c r="DG25">
        <v>1</v>
      </c>
      <c r="DH25">
        <v>5</v>
      </c>
      <c r="DI25" s="2" t="s">
        <v>145</v>
      </c>
      <c r="DJ25">
        <v>3</v>
      </c>
      <c r="DK25">
        <v>8</v>
      </c>
      <c r="DL25" s="2" t="s">
        <v>160</v>
      </c>
      <c r="DM25">
        <v>1</v>
      </c>
      <c r="DN25">
        <v>5</v>
      </c>
      <c r="DO25" s="2" t="s">
        <v>193</v>
      </c>
      <c r="DP25">
        <v>4</v>
      </c>
      <c r="DQ25">
        <v>8</v>
      </c>
      <c r="DR25" s="2" t="s">
        <v>173</v>
      </c>
      <c r="DS25">
        <v>2</v>
      </c>
      <c r="DT25">
        <v>8</v>
      </c>
      <c r="DU25" s="2" t="s">
        <v>169</v>
      </c>
      <c r="DV25">
        <v>1</v>
      </c>
      <c r="DW25">
        <v>5</v>
      </c>
      <c r="DX25" s="2" t="s">
        <v>182</v>
      </c>
      <c r="DY25">
        <v>1</v>
      </c>
      <c r="DZ25">
        <v>5</v>
      </c>
      <c r="EA25" s="2" t="s">
        <v>188</v>
      </c>
      <c r="EB25">
        <v>4</v>
      </c>
      <c r="EC25">
        <v>8</v>
      </c>
      <c r="ED25" t="str">
        <f t="shared" si="0"/>
        <v>L</v>
      </c>
      <c r="EE25">
        <f t="shared" si="1"/>
        <v>-3</v>
      </c>
    </row>
    <row r="26" spans="1:135" x14ac:dyDescent="0.2">
      <c r="A26" s="2" t="s">
        <v>285</v>
      </c>
      <c r="B26" s="1">
        <v>43313.209155092591</v>
      </c>
      <c r="D26">
        <v>54000024</v>
      </c>
      <c r="E26" s="2" t="s">
        <v>161</v>
      </c>
      <c r="F26">
        <v>72000023</v>
      </c>
      <c r="G26" s="2" t="s">
        <v>286</v>
      </c>
      <c r="I26" s="2" t="s">
        <v>134</v>
      </c>
      <c r="J26" s="2" t="s">
        <v>414</v>
      </c>
      <c r="K26" s="2" t="s">
        <v>415</v>
      </c>
      <c r="M26">
        <v>0</v>
      </c>
      <c r="N26" s="2" t="s">
        <v>416</v>
      </c>
      <c r="O26" s="2" t="s">
        <v>417</v>
      </c>
      <c r="P26">
        <v>16000120</v>
      </c>
      <c r="Q26" s="2" t="s">
        <v>164</v>
      </c>
      <c r="R26">
        <v>9</v>
      </c>
      <c r="S26">
        <v>13</v>
      </c>
      <c r="T26" s="2" t="s">
        <v>166</v>
      </c>
      <c r="U26">
        <v>1</v>
      </c>
      <c r="V26">
        <v>5</v>
      </c>
      <c r="W26" s="2" t="s">
        <v>153</v>
      </c>
      <c r="X26">
        <v>1</v>
      </c>
      <c r="Y26">
        <v>5</v>
      </c>
      <c r="Z26" s="2" t="s">
        <v>147</v>
      </c>
      <c r="AA26">
        <v>5</v>
      </c>
      <c r="AB26">
        <v>11</v>
      </c>
      <c r="AC26" s="2" t="s">
        <v>159</v>
      </c>
      <c r="AD26">
        <v>4</v>
      </c>
      <c r="AE26">
        <v>8</v>
      </c>
      <c r="AF26" s="2" t="s">
        <v>186</v>
      </c>
      <c r="AG26">
        <v>3</v>
      </c>
      <c r="AH26">
        <v>8</v>
      </c>
      <c r="AI26" s="2" t="s">
        <v>165</v>
      </c>
      <c r="AJ26">
        <v>8</v>
      </c>
      <c r="AK26">
        <v>13</v>
      </c>
      <c r="AL26" s="2" t="s">
        <v>179</v>
      </c>
      <c r="AM26">
        <v>4</v>
      </c>
      <c r="AN26">
        <v>8</v>
      </c>
      <c r="AO26" s="2" t="s">
        <v>135</v>
      </c>
      <c r="AP26" s="2" t="s">
        <v>136</v>
      </c>
      <c r="AQ26" s="2" t="s">
        <v>133</v>
      </c>
      <c r="AR26">
        <v>0</v>
      </c>
      <c r="AS26" s="2" t="s">
        <v>137</v>
      </c>
      <c r="AT26" s="2" t="s">
        <v>138</v>
      </c>
      <c r="AU26">
        <v>16000171</v>
      </c>
      <c r="AV26" s="2" t="s">
        <v>149</v>
      </c>
      <c r="AW26">
        <v>7</v>
      </c>
      <c r="AX26">
        <v>11</v>
      </c>
      <c r="AY26" s="2" t="s">
        <v>142</v>
      </c>
      <c r="AZ26">
        <v>9</v>
      </c>
      <c r="BA26">
        <v>13</v>
      </c>
      <c r="BB26" s="2" t="s">
        <v>165</v>
      </c>
      <c r="BC26">
        <v>7</v>
      </c>
      <c r="BD26">
        <v>13</v>
      </c>
      <c r="BE26" s="2" t="s">
        <v>146</v>
      </c>
      <c r="BF26">
        <v>10</v>
      </c>
      <c r="BG26">
        <v>13</v>
      </c>
      <c r="BH26" s="2" t="s">
        <v>145</v>
      </c>
      <c r="BI26">
        <v>4</v>
      </c>
      <c r="BJ26">
        <v>8</v>
      </c>
      <c r="BK26" s="2" t="s">
        <v>222</v>
      </c>
      <c r="BL26">
        <v>9</v>
      </c>
      <c r="BM26">
        <v>13</v>
      </c>
      <c r="BN26" s="2" t="s">
        <v>170</v>
      </c>
      <c r="BO26">
        <v>7</v>
      </c>
      <c r="BP26">
        <v>11</v>
      </c>
      <c r="BQ26" s="2" t="s">
        <v>197</v>
      </c>
      <c r="BR26">
        <v>8</v>
      </c>
      <c r="BS26">
        <v>13</v>
      </c>
      <c r="BT26" s="2" t="s">
        <v>418</v>
      </c>
      <c r="BU26" s="2" t="s">
        <v>419</v>
      </c>
      <c r="BW26">
        <v>1</v>
      </c>
      <c r="BX26" s="2" t="s">
        <v>420</v>
      </c>
      <c r="BY26" s="2" t="s">
        <v>421</v>
      </c>
      <c r="BZ26">
        <v>16000028</v>
      </c>
      <c r="CA26" s="2" t="s">
        <v>141</v>
      </c>
      <c r="CB26">
        <v>4</v>
      </c>
      <c r="CC26">
        <v>8</v>
      </c>
      <c r="CD26" s="2" t="s">
        <v>184</v>
      </c>
      <c r="CE26">
        <v>1</v>
      </c>
      <c r="CF26">
        <v>5</v>
      </c>
      <c r="CG26" s="2" t="s">
        <v>159</v>
      </c>
      <c r="CH26">
        <v>5</v>
      </c>
      <c r="CI26">
        <v>8</v>
      </c>
      <c r="CJ26" s="2" t="s">
        <v>182</v>
      </c>
      <c r="CK26">
        <v>2</v>
      </c>
      <c r="CL26">
        <v>5</v>
      </c>
      <c r="CM26" s="2" t="s">
        <v>175</v>
      </c>
      <c r="CN26">
        <v>1</v>
      </c>
      <c r="CO26">
        <v>5</v>
      </c>
      <c r="CP26" s="2" t="s">
        <v>146</v>
      </c>
      <c r="CQ26">
        <v>9</v>
      </c>
      <c r="CR26">
        <v>13</v>
      </c>
      <c r="CS26" s="2" t="s">
        <v>153</v>
      </c>
      <c r="CT26">
        <v>2</v>
      </c>
      <c r="CU26">
        <v>5</v>
      </c>
      <c r="CV26" s="2" t="s">
        <v>208</v>
      </c>
      <c r="CW26">
        <v>4</v>
      </c>
      <c r="CX26">
        <v>8</v>
      </c>
      <c r="CY26" s="2" t="s">
        <v>422</v>
      </c>
      <c r="CZ26" s="2" t="s">
        <v>423</v>
      </c>
      <c r="DA26" s="2" t="s">
        <v>133</v>
      </c>
      <c r="DB26">
        <v>1</v>
      </c>
      <c r="DC26" s="2" t="s">
        <v>424</v>
      </c>
      <c r="DD26" s="2" t="s">
        <v>425</v>
      </c>
      <c r="DE26">
        <v>16000162</v>
      </c>
      <c r="DF26" s="2" t="s">
        <v>194</v>
      </c>
      <c r="DG26">
        <v>3</v>
      </c>
      <c r="DH26">
        <v>8</v>
      </c>
      <c r="DI26" s="2" t="s">
        <v>175</v>
      </c>
      <c r="DJ26">
        <v>1</v>
      </c>
      <c r="DK26">
        <v>5</v>
      </c>
      <c r="DL26" s="2" t="s">
        <v>188</v>
      </c>
      <c r="DM26">
        <v>4</v>
      </c>
      <c r="DN26">
        <v>8</v>
      </c>
      <c r="DO26" s="2" t="s">
        <v>206</v>
      </c>
      <c r="DP26">
        <v>3</v>
      </c>
      <c r="DQ26">
        <v>8</v>
      </c>
      <c r="DR26" s="2" t="s">
        <v>195</v>
      </c>
      <c r="DS26">
        <v>5</v>
      </c>
      <c r="DT26">
        <v>8</v>
      </c>
      <c r="DU26" s="2" t="s">
        <v>178</v>
      </c>
      <c r="DV26">
        <v>3</v>
      </c>
      <c r="DW26">
        <v>8</v>
      </c>
      <c r="DX26" s="2" t="s">
        <v>199</v>
      </c>
      <c r="DY26">
        <v>2</v>
      </c>
      <c r="DZ26">
        <v>5</v>
      </c>
      <c r="EA26" s="2" t="s">
        <v>204</v>
      </c>
      <c r="EB26">
        <v>3</v>
      </c>
      <c r="EC26">
        <v>8</v>
      </c>
      <c r="ED26" t="str">
        <f t="shared" si="0"/>
        <v>L</v>
      </c>
      <c r="EE26">
        <f t="shared" si="1"/>
        <v>-1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463A32-ADBD-412E-BAA2-BB88877448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</vt:lpstr>
      <vt:lpstr>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thegametwok</dc:creator>
  <cp:lastModifiedBy>thegametwok</cp:lastModifiedBy>
  <dcterms:created xsi:type="dcterms:W3CDTF">2018-07-03T05:12:21Z</dcterms:created>
  <dcterms:modified xsi:type="dcterms:W3CDTF">2018-08-02T06:17:55Z</dcterms:modified>
</cp:coreProperties>
</file>