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egametwok\Documents\GitHub\statsroyale\"/>
    </mc:Choice>
  </mc:AlternateContent>
  <xr:revisionPtr revIDLastSave="0" documentId="13_ncr:1_{9DE1C53F-2DBE-4A53-A65D-E0A54D2BD2A6}" xr6:coauthVersionLast="34" xr6:coauthVersionMax="34" xr10:uidLastSave="{00000000-0000-0000-0000-000000000000}"/>
  <bookViews>
    <workbookView xWindow="0" yWindow="9000" windowWidth="20400" windowHeight="7590" xr2:uid="{E648B2F3-3229-4064-950B-BD825AE3F0A9}"/>
  </bookViews>
  <sheets>
    <sheet name="M" sheetId="1" r:id="rId1"/>
    <sheet name="C" sheetId="2" state="hidden" r:id="rId2"/>
    <sheet name="E" sheetId="3" state="hidden" r:id="rId3"/>
  </sheets>
  <definedNames>
    <definedName name="ExternalData_1" localSheetId="1" hidden="1">'C'!$A$1:$EC$26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D2" i="2" l="1"/>
  <c r="ED3" i="2"/>
  <c r="ED4" i="2"/>
  <c r="ED5" i="2"/>
  <c r="ED6" i="2"/>
  <c r="ED7" i="2"/>
  <c r="ED8" i="2"/>
  <c r="ED9" i="2"/>
  <c r="ED10" i="2"/>
  <c r="ED11" i="2"/>
  <c r="ED12" i="2"/>
  <c r="ED13" i="2"/>
  <c r="ED14" i="2"/>
  <c r="ED15" i="2"/>
  <c r="ED16" i="2"/>
  <c r="ED17" i="2"/>
  <c r="ED18" i="2"/>
  <c r="ED19" i="2"/>
  <c r="ED20" i="2"/>
  <c r="ED21" i="2"/>
  <c r="ED22" i="2"/>
  <c r="ED23" i="2"/>
  <c r="ED24" i="2"/>
  <c r="ED25" i="2"/>
  <c r="ED26" i="2"/>
  <c r="EE2" i="2"/>
  <c r="EE3" i="2"/>
  <c r="EE4" i="2"/>
  <c r="EE5" i="2"/>
  <c r="EE6" i="2"/>
  <c r="EE7" i="2"/>
  <c r="EE8" i="2"/>
  <c r="EE9" i="2"/>
  <c r="EE10" i="2"/>
  <c r="EE11" i="2"/>
  <c r="EE12" i="2"/>
  <c r="EE13" i="2"/>
  <c r="EE14" i="2"/>
  <c r="EE15" i="2"/>
  <c r="EE16" i="2"/>
  <c r="EE17" i="2"/>
  <c r="EE18" i="2"/>
  <c r="EE19" i="2"/>
  <c r="EE20" i="2"/>
  <c r="EE21" i="2"/>
  <c r="EE22" i="2"/>
  <c r="EE23" i="2"/>
  <c r="EE24" i="2"/>
  <c r="EE25" i="2"/>
  <c r="EE26" i="2"/>
  <c r="EF2" i="2"/>
  <c r="EF3" i="2"/>
  <c r="EF4" i="2"/>
  <c r="EF5" i="2"/>
  <c r="EF6" i="2"/>
  <c r="EF7" i="2"/>
  <c r="EF8" i="2"/>
  <c r="EF9" i="2"/>
  <c r="EF10" i="2"/>
  <c r="EF11" i="2"/>
  <c r="EF12" i="2"/>
  <c r="EF13" i="2"/>
  <c r="EF14" i="2"/>
  <c r="EF15" i="2"/>
  <c r="EF16" i="2"/>
  <c r="EF17" i="2"/>
  <c r="EF18" i="2"/>
  <c r="EF19" i="2"/>
  <c r="EF20" i="2"/>
  <c r="EF21" i="2"/>
  <c r="EF22" i="2"/>
  <c r="EF23" i="2"/>
  <c r="EF24" i="2"/>
  <c r="EF25" i="2"/>
  <c r="EF26" i="2"/>
  <c r="EG2" i="2"/>
  <c r="EG3" i="2"/>
  <c r="EG4" i="2"/>
  <c r="EG5" i="2"/>
  <c r="EG6" i="2"/>
  <c r="EG7" i="2"/>
  <c r="EG8" i="2"/>
  <c r="EG9" i="2"/>
  <c r="EG10" i="2"/>
  <c r="EG11" i="2"/>
  <c r="EG12" i="2"/>
  <c r="EG13" i="2"/>
  <c r="EG14" i="2"/>
  <c r="EG15" i="2"/>
  <c r="EG16" i="2"/>
  <c r="EG17" i="2"/>
  <c r="EG18" i="2"/>
  <c r="EG19" i="2"/>
  <c r="EG20" i="2"/>
  <c r="EG21" i="2"/>
  <c r="EG22" i="2"/>
  <c r="EG23" i="2"/>
  <c r="EG24" i="2"/>
  <c r="EG25" i="2"/>
  <c r="EG26" i="2"/>
  <c r="J13" i="1"/>
  <c r="K2" i="1" l="1"/>
  <c r="I2" i="1"/>
  <c r="J2" i="1" l="1"/>
  <c r="H2" i="1"/>
  <c r="H3" i="1" l="1"/>
  <c r="H1" i="1"/>
  <c r="I3" i="1"/>
  <c r="K10" i="1"/>
  <c r="K9" i="1"/>
  <c r="K8" i="1"/>
  <c r="K7" i="1"/>
  <c r="K6" i="1"/>
  <c r="K5" i="1"/>
  <c r="K4" i="1"/>
  <c r="K3" i="1"/>
  <c r="J10" i="1"/>
  <c r="J9" i="1"/>
  <c r="J8" i="1"/>
  <c r="J7" i="1"/>
  <c r="J6" i="1"/>
  <c r="J5" i="1"/>
  <c r="J4" i="1"/>
  <c r="J3" i="1"/>
  <c r="I10" i="1"/>
  <c r="I9" i="1"/>
  <c r="I8" i="1"/>
  <c r="I7" i="1"/>
  <c r="I6" i="1"/>
  <c r="I5" i="1"/>
  <c r="I4" i="1"/>
  <c r="H10" i="1"/>
  <c r="H9" i="1"/>
  <c r="H8" i="1"/>
  <c r="H7" i="1"/>
  <c r="H6" i="1"/>
  <c r="H5" i="1"/>
  <c r="H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1E86A12-4C35-4C12-B360-06F65B66B73A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</connections>
</file>

<file path=xl/sharedStrings.xml><?xml version="1.0" encoding="utf-8"?>
<sst xmlns="http://schemas.openxmlformats.org/spreadsheetml/2006/main" count="1671" uniqueCount="365">
  <si>
    <t>type</t>
  </si>
  <si>
    <t>battleTime</t>
  </si>
  <si>
    <t>challengeId</t>
  </si>
  <si>
    <t>arena_id</t>
  </si>
  <si>
    <t>arena_name</t>
  </si>
  <si>
    <t>gameMode_id</t>
  </si>
  <si>
    <t>gameMode_name</t>
  </si>
  <si>
    <t>challengeWinCountBefore</t>
  </si>
  <si>
    <t>deckSelection</t>
  </si>
  <si>
    <t>team_0_tag</t>
  </si>
  <si>
    <t>team_0_name</t>
  </si>
  <si>
    <t>team_0_startingTrophies</t>
  </si>
  <si>
    <t>team_0_crowns</t>
  </si>
  <si>
    <t>team_0_clan_tag</t>
  </si>
  <si>
    <t>team_0_clan_name</t>
  </si>
  <si>
    <t>team_0_clan_badgeId</t>
  </si>
  <si>
    <t>team_0_cards_0_name</t>
  </si>
  <si>
    <t>team_0_cards_0_level</t>
  </si>
  <si>
    <t>team_0_cards_0_maxLevel</t>
  </si>
  <si>
    <t>team_0_cards_1_name</t>
  </si>
  <si>
    <t>team_0_cards_1_level</t>
  </si>
  <si>
    <t>team_0_cards_1_maxLevel</t>
  </si>
  <si>
    <t>team_0_cards_2_name</t>
  </si>
  <si>
    <t>team_0_cards_2_level</t>
  </si>
  <si>
    <t>team_0_cards_2_maxLevel</t>
  </si>
  <si>
    <t>team_0_cards_3_name</t>
  </si>
  <si>
    <t>team_0_cards_3_level</t>
  </si>
  <si>
    <t>team_0_cards_3_maxLevel</t>
  </si>
  <si>
    <t>team_0_cards_4_name</t>
  </si>
  <si>
    <t>team_0_cards_4_level</t>
  </si>
  <si>
    <t>team_0_cards_4_maxLevel</t>
  </si>
  <si>
    <t>team_0_cards_5_name</t>
  </si>
  <si>
    <t>team_0_cards_5_level</t>
  </si>
  <si>
    <t>team_0_cards_5_maxLevel</t>
  </si>
  <si>
    <t>team_0_cards_6_name</t>
  </si>
  <si>
    <t>team_0_cards_6_level</t>
  </si>
  <si>
    <t>team_0_cards_6_maxLevel</t>
  </si>
  <si>
    <t>team_0_cards_7_name</t>
  </si>
  <si>
    <t>team_0_cards_7_level</t>
  </si>
  <si>
    <t>team_0_cards_7_maxLevel</t>
  </si>
  <si>
    <t>team_1_tag</t>
  </si>
  <si>
    <t>team_1_name</t>
  </si>
  <si>
    <t>team_1_startingTrophies</t>
  </si>
  <si>
    <t>team_1_crowns</t>
  </si>
  <si>
    <t>team_1_clan_tag</t>
  </si>
  <si>
    <t>team_1_clan_name</t>
  </si>
  <si>
    <t>team_1_clan_badgeId</t>
  </si>
  <si>
    <t>team_1_cards_0_name</t>
  </si>
  <si>
    <t>team_1_cards_0_level</t>
  </si>
  <si>
    <t>team_1_cards_0_maxLevel</t>
  </si>
  <si>
    <t>team_1_cards_1_name</t>
  </si>
  <si>
    <t>team_1_cards_1_level</t>
  </si>
  <si>
    <t>team_1_cards_1_maxLevel</t>
  </si>
  <si>
    <t>team_1_cards_2_name</t>
  </si>
  <si>
    <t>team_1_cards_2_level</t>
  </si>
  <si>
    <t>team_1_cards_2_maxLevel</t>
  </si>
  <si>
    <t>team_1_cards_3_name</t>
  </si>
  <si>
    <t>team_1_cards_3_level</t>
  </si>
  <si>
    <t>team_1_cards_3_maxLevel</t>
  </si>
  <si>
    <t>team_1_cards_4_name</t>
  </si>
  <si>
    <t>team_1_cards_4_level</t>
  </si>
  <si>
    <t>team_1_cards_4_maxLevel</t>
  </si>
  <si>
    <t>team_1_cards_5_name</t>
  </si>
  <si>
    <t>team_1_cards_5_level</t>
  </si>
  <si>
    <t>team_1_cards_5_maxLevel</t>
  </si>
  <si>
    <t>team_1_cards_6_name</t>
  </si>
  <si>
    <t>team_1_cards_6_level</t>
  </si>
  <si>
    <t>team_1_cards_6_maxLevel</t>
  </si>
  <si>
    <t>team_1_cards_7_name</t>
  </si>
  <si>
    <t>team_1_cards_7_level</t>
  </si>
  <si>
    <t>team_1_cards_7_maxLevel</t>
  </si>
  <si>
    <t>opponent_0_tag</t>
  </si>
  <si>
    <t>opponent_0_name</t>
  </si>
  <si>
    <t>opponent_0_startingTrophies</t>
  </si>
  <si>
    <t>opponent_0_crowns</t>
  </si>
  <si>
    <t>opponent_0_clan_tag</t>
  </si>
  <si>
    <t>opponent_0_clan_name</t>
  </si>
  <si>
    <t>opponent_0_clan_badgeId</t>
  </si>
  <si>
    <t>opponent_0_cards_0_name</t>
  </si>
  <si>
    <t>opponent_0_cards_0_level</t>
  </si>
  <si>
    <t>opponent_0_cards_0_maxLevel</t>
  </si>
  <si>
    <t>opponent_0_cards_1_name</t>
  </si>
  <si>
    <t>opponent_0_cards_1_level</t>
  </si>
  <si>
    <t>opponent_0_cards_1_maxLevel</t>
  </si>
  <si>
    <t>opponent_0_cards_2_name</t>
  </si>
  <si>
    <t>opponent_0_cards_2_level</t>
  </si>
  <si>
    <t>opponent_0_cards_2_maxLevel</t>
  </si>
  <si>
    <t>opponent_0_cards_3_name</t>
  </si>
  <si>
    <t>opponent_0_cards_3_level</t>
  </si>
  <si>
    <t>opponent_0_cards_3_maxLevel</t>
  </si>
  <si>
    <t>opponent_0_cards_4_name</t>
  </si>
  <si>
    <t>opponent_0_cards_4_level</t>
  </si>
  <si>
    <t>opponent_0_cards_4_maxLevel</t>
  </si>
  <si>
    <t>opponent_0_cards_5_name</t>
  </si>
  <si>
    <t>opponent_0_cards_5_level</t>
  </si>
  <si>
    <t>opponent_0_cards_5_maxLevel</t>
  </si>
  <si>
    <t>opponent_0_cards_6_name</t>
  </si>
  <si>
    <t>opponent_0_cards_6_level</t>
  </si>
  <si>
    <t>opponent_0_cards_6_maxLevel</t>
  </si>
  <si>
    <t>opponent_0_cards_7_name</t>
  </si>
  <si>
    <t>opponent_0_cards_7_level</t>
  </si>
  <si>
    <t>opponent_0_cards_7_maxLevel</t>
  </si>
  <si>
    <t>opponent_1_tag</t>
  </si>
  <si>
    <t>opponent_1_name</t>
  </si>
  <si>
    <t>opponent_1_startingTrophies</t>
  </si>
  <si>
    <t>opponent_1_crowns</t>
  </si>
  <si>
    <t>opponent_1_clan_tag</t>
  </si>
  <si>
    <t>opponent_1_clan_name</t>
  </si>
  <si>
    <t>opponent_1_clan_badgeId</t>
  </si>
  <si>
    <t>opponent_1_cards_0_name</t>
  </si>
  <si>
    <t>opponent_1_cards_0_level</t>
  </si>
  <si>
    <t>opponent_1_cards_0_maxLevel</t>
  </si>
  <si>
    <t>opponent_1_cards_1_name</t>
  </si>
  <si>
    <t>opponent_1_cards_1_level</t>
  </si>
  <si>
    <t>opponent_1_cards_1_maxLevel</t>
  </si>
  <si>
    <t>opponent_1_cards_2_name</t>
  </si>
  <si>
    <t>opponent_1_cards_2_level</t>
  </si>
  <si>
    <t>opponent_1_cards_2_maxLevel</t>
  </si>
  <si>
    <t>opponent_1_cards_3_name</t>
  </si>
  <si>
    <t>opponent_1_cards_3_level</t>
  </si>
  <si>
    <t>opponent_1_cards_3_maxLevel</t>
  </si>
  <si>
    <t>opponent_1_cards_4_name</t>
  </si>
  <si>
    <t>opponent_1_cards_4_level</t>
  </si>
  <si>
    <t>opponent_1_cards_4_maxLevel</t>
  </si>
  <si>
    <t>opponent_1_cards_5_name</t>
  </si>
  <si>
    <t>opponent_1_cards_5_level</t>
  </si>
  <si>
    <t>opponent_1_cards_5_maxLevel</t>
  </si>
  <si>
    <t>opponent_1_cards_6_name</t>
  </si>
  <si>
    <t>opponent_1_cards_6_level</t>
  </si>
  <si>
    <t>opponent_1_cards_6_maxLevel</t>
  </si>
  <si>
    <t>opponent_1_cards_7_name</t>
  </si>
  <si>
    <t>opponent_1_cards_7_level</t>
  </si>
  <si>
    <t>opponent_1_cards_7_maxLevel</t>
  </si>
  <si>
    <t>collection</t>
  </si>
  <si>
    <t>#9YJ9PV9RY</t>
  </si>
  <si>
    <t>thegametwok</t>
  </si>
  <si>
    <t>#99C2GPG9</t>
  </si>
  <si>
    <t>Jedi Council</t>
  </si>
  <si>
    <t>Goblin Barrel</t>
  </si>
  <si>
    <t>Dart Goblin</t>
  </si>
  <si>
    <t>Archers</t>
  </si>
  <si>
    <t>Zap</t>
  </si>
  <si>
    <t>Fireball</t>
  </si>
  <si>
    <t>Mortar</t>
  </si>
  <si>
    <t>Ice Golem</t>
  </si>
  <si>
    <t>Tesla</t>
  </si>
  <si>
    <t/>
  </si>
  <si>
    <t>Royal Ghost</t>
  </si>
  <si>
    <t>Barbarian Barrel</t>
  </si>
  <si>
    <t>Musketeer</t>
  </si>
  <si>
    <t>Rage</t>
  </si>
  <si>
    <t>Royal Hogs</t>
  </si>
  <si>
    <t>Magic Archer</t>
  </si>
  <si>
    <t>Mirror</t>
  </si>
  <si>
    <t>Rocket</t>
  </si>
  <si>
    <t>Spear Goblins</t>
  </si>
  <si>
    <t>Hog Rider</t>
  </si>
  <si>
    <t>Valkyrie</t>
  </si>
  <si>
    <t>Goblin Gang</t>
  </si>
  <si>
    <t>Bats</t>
  </si>
  <si>
    <t>Battle Ram</t>
  </si>
  <si>
    <t>Tornado</t>
  </si>
  <si>
    <t>The Log</t>
  </si>
  <si>
    <t>Mega Minion</t>
  </si>
  <si>
    <t>Tombstone</t>
  </si>
  <si>
    <t>Ice Wizard</t>
  </si>
  <si>
    <t>Lava Hound</t>
  </si>
  <si>
    <t>Arrows</t>
  </si>
  <si>
    <t>Balloon</t>
  </si>
  <si>
    <t>Minions</t>
  </si>
  <si>
    <t>Inferno Dragon</t>
  </si>
  <si>
    <t>2v2</t>
  </si>
  <si>
    <t>TeamVsTeamLadder</t>
  </si>
  <si>
    <t>Knight</t>
  </si>
  <si>
    <t>Goblins</t>
  </si>
  <si>
    <t>Princess</t>
  </si>
  <si>
    <t>Mega Knight</t>
  </si>
  <si>
    <t>Poison</t>
  </si>
  <si>
    <t>Freeze</t>
  </si>
  <si>
    <t>Royal Recruits</t>
  </si>
  <si>
    <t>X-Bow</t>
  </si>
  <si>
    <t>Clone</t>
  </si>
  <si>
    <t>Electro Wizard</t>
  </si>
  <si>
    <t>Dark Prince</t>
  </si>
  <si>
    <t>Lumberjack</t>
  </si>
  <si>
    <t>Executioner</t>
  </si>
  <si>
    <t>Wizard</t>
  </si>
  <si>
    <t>Giant Skeleton</t>
  </si>
  <si>
    <t>Inferno Tower</t>
  </si>
  <si>
    <t>Fire Spirits</t>
  </si>
  <si>
    <t>Minion Horde</t>
  </si>
  <si>
    <t>Sparky</t>
  </si>
  <si>
    <t>Furnace</t>
  </si>
  <si>
    <t>Witch</t>
  </si>
  <si>
    <t>Skeleton Army</t>
  </si>
  <si>
    <t>Skeletons</t>
  </si>
  <si>
    <t>Night Witch</t>
  </si>
  <si>
    <t>Golem</t>
  </si>
  <si>
    <t>Prince</t>
  </si>
  <si>
    <t>Baby Dragon</t>
  </si>
  <si>
    <t>Miner</t>
  </si>
  <si>
    <t>Giant</t>
  </si>
  <si>
    <t>Goblin Hut</t>
  </si>
  <si>
    <t>Arena 3</t>
  </si>
  <si>
    <t>Flying Machine</t>
  </si>
  <si>
    <t>Barbarian Hut</t>
  </si>
  <si>
    <t>Mini P.E.K.K.A</t>
  </si>
  <si>
    <t>Elite Barbarians</t>
  </si>
  <si>
    <t>Bandit</t>
  </si>
  <si>
    <t>Lightning</t>
  </si>
  <si>
    <t>Rascals</t>
  </si>
  <si>
    <t>Cannon</t>
  </si>
  <si>
    <t>Guards</t>
  </si>
  <si>
    <t>Three Musketeers</t>
  </si>
  <si>
    <t>P.E.K.K.A</t>
  </si>
  <si>
    <t>Ice Spirit</t>
  </si>
  <si>
    <t>Graveyard</t>
  </si>
  <si>
    <t>Giant Snowball</t>
  </si>
  <si>
    <t>final_score</t>
  </si>
  <si>
    <t>game_result</t>
  </si>
  <si>
    <t>my_average</t>
  </si>
  <si>
    <t>opp_average</t>
  </si>
  <si>
    <t>Royal Giant</t>
  </si>
  <si>
    <t>Elixir Collector</t>
  </si>
  <si>
    <t>Bowler</t>
  </si>
  <si>
    <t>Barbarians</t>
  </si>
  <si>
    <t>Bomb Tower</t>
  </si>
  <si>
    <t>Bomber</t>
  </si>
  <si>
    <t>Cannon Cart</t>
  </si>
  <si>
    <t>Heal</t>
  </si>
  <si>
    <t>Hunter</t>
  </si>
  <si>
    <t>Skeleton Barrel</t>
  </si>
  <si>
    <t>Zappies</t>
  </si>
  <si>
    <t>Avg Ovr</t>
  </si>
  <si>
    <t>Avg W</t>
  </si>
  <si>
    <t>Avg L</t>
  </si>
  <si>
    <t>Current Game Mode</t>
  </si>
  <si>
    <t>W-L-T</t>
  </si>
  <si>
    <t>Games</t>
  </si>
  <si>
    <t>Characters</t>
  </si>
  <si>
    <t>Opponent Stats</t>
  </si>
  <si>
    <t>Arena 8</t>
  </si>
  <si>
    <t>Arena 1</t>
  </si>
  <si>
    <t>Arena 5</t>
  </si>
  <si>
    <t>Arena 12</t>
  </si>
  <si>
    <t>Arena 11</t>
  </si>
  <si>
    <t>challenge</t>
  </si>
  <si>
    <t>Challenge</t>
  </si>
  <si>
    <t>Arena 4</t>
  </si>
  <si>
    <t>Ready</t>
  </si>
  <si>
    <t>#2L8QVYV0R</t>
  </si>
  <si>
    <t>ruben</t>
  </si>
  <si>
    <t>#VV2092P</t>
  </si>
  <si>
    <t>PERU UNITED</t>
  </si>
  <si>
    <t>#289JGCG89</t>
  </si>
  <si>
    <t>Å˜à¸¢ÃŸÃ¯Î·hâŠ•</t>
  </si>
  <si>
    <t>#8U9GVGGJ</t>
  </si>
  <si>
    <t>OreoConLeche</t>
  </si>
  <si>
    <t>#9RCQRL9JQ</t>
  </si>
  <si>
    <t>âœŒvitor clashâœŒ</t>
  </si>
  <si>
    <t>#2V0GG2PP</t>
  </si>
  <si>
    <t>The 100</t>
  </si>
  <si>
    <t>Arena 10</t>
  </si>
  <si>
    <t>#2VPVP2G9J</t>
  </si>
  <si>
    <t>Yato</t>
  </si>
  <si>
    <t>#8G0JGPJU</t>
  </si>
  <si>
    <t>Arcanos eSports</t>
  </si>
  <si>
    <t>#L9GRCUR</t>
  </si>
  <si>
    <t>å¥½å¤§ä¸€åªèƒ–æ¬¡</t>
  </si>
  <si>
    <t>#2V92RC0</t>
  </si>
  <si>
    <t>AquaticRoyales</t>
  </si>
  <si>
    <t>#89QY80Q2</t>
  </si>
  <si>
    <t>lalo</t>
  </si>
  <si>
    <t>#QYJGPJY</t>
  </si>
  <si>
    <t>Berrakos clans</t>
  </si>
  <si>
    <t>#9RCJC92J2</t>
  </si>
  <si>
    <t>Ø§Ù…ÙŠØ±Ø§Ù„ Ø§Ù„Ø§ÙƒÙˆØ¹</t>
  </si>
  <si>
    <t>#VL89JCU</t>
  </si>
  <si>
    <t>Ø§Ù„Ø§Ø®ÙˆÙ‡</t>
  </si>
  <si>
    <t>#8V0UQ00VL</t>
  </si>
  <si>
    <t>é›ªçƒ</t>
  </si>
  <si>
    <t>#P08QY2CP</t>
  </si>
  <si>
    <t>æ‹†è¿é˜Ÿ</t>
  </si>
  <si>
    <t>#9CYCV0Y22</t>
  </si>
  <si>
    <t>æˆ‘å½“åˆä¹Ÿå¥½æƒ³</t>
  </si>
  <si>
    <t>#9RRPJ8R8</t>
  </si>
  <si>
    <t>äºŒå¤§</t>
  </si>
  <si>
    <t>#2YVR2Q90Q</t>
  </si>
  <si>
    <t>Shalankitheras</t>
  </si>
  <si>
    <t>#8G8UJ0G0</t>
  </si>
  <si>
    <t>War Lords</t>
  </si>
  <si>
    <t>Arena 7</t>
  </si>
  <si>
    <t>League 2</t>
  </si>
  <si>
    <t>#2PCV8QUVL</t>
  </si>
  <si>
    <t>GÃ–REV ADAMI</t>
  </si>
  <si>
    <t>#82YRUVR</t>
  </si>
  <si>
    <t>TURKEY ESPORTS</t>
  </si>
  <si>
    <t>#88Y2982CG</t>
  </si>
  <si>
    <t>josimar</t>
  </si>
  <si>
    <t>#9Y0VJ0PC</t>
  </si>
  <si>
    <t>Black Revengeâ„¢Â²</t>
  </si>
  <si>
    <t>#C0RL0Q2J</t>
  </si>
  <si>
    <t>Ru</t>
  </si>
  <si>
    <t>#8PRGVVGUL</t>
  </si>
  <si>
    <t>ã‹ãšã—</t>
  </si>
  <si>
    <t>#229PQYJJ</t>
  </si>
  <si>
    <t>ã¡ã‚…ãƒ¼ã°ããƒ¼</t>
  </si>
  <si>
    <t>#8RRPYQUC</t>
  </si>
  <si>
    <t>SaiLoR TreY</t>
  </si>
  <si>
    <t>#PQVVJYP0</t>
  </si>
  <si>
    <t>GoinInDry</t>
  </si>
  <si>
    <t>#2GR8999GG</t>
  </si>
  <si>
    <t>Austin</t>
  </si>
  <si>
    <t>#8CYUYL2Y</t>
  </si>
  <si>
    <t>Canada Royale</t>
  </si>
  <si>
    <t>#JQVYV2U</t>
  </si>
  <si>
    <t>Tyrone</t>
  </si>
  <si>
    <t>#2Y0YQCRG</t>
  </si>
  <si>
    <t>Los Aldeanos</t>
  </si>
  <si>
    <t>#V0YUCGQ9</t>
  </si>
  <si>
    <t>Cow7orrinha-</t>
  </si>
  <si>
    <t>#9JL880YL</t>
  </si>
  <si>
    <t>vÃ­rus mortal</t>
  </si>
  <si>
    <t>#2LCPY29JJ</t>
  </si>
  <si>
    <t>JASON!</t>
  </si>
  <si>
    <t>#8RRQ9YRV</t>
  </si>
  <si>
    <t>los asesinos</t>
  </si>
  <si>
    <t>#88VP80RQC</t>
  </si>
  <si>
    <t>Wendel</t>
  </si>
  <si>
    <t>#22YUV220</t>
  </si>
  <si>
    <t>cartola fc</t>
  </si>
  <si>
    <t>#2JYLC92Y</t>
  </si>
  <si>
    <t>DiegoPhoenix</t>
  </si>
  <si>
    <t>#28L2G0G0V</t>
  </si>
  <si>
    <t>-'!-AbDaLlA-!'-</t>
  </si>
  <si>
    <t>#9LQVQ8J8</t>
  </si>
  <si>
    <t>GLADIATORS</t>
  </si>
  <si>
    <t>League 3</t>
  </si>
  <si>
    <t>#8R9V90PU</t>
  </si>
  <si>
    <t>Black Beard</t>
  </si>
  <si>
    <t>#9QYJPJL8</t>
  </si>
  <si>
    <t>Royale Trainers</t>
  </si>
  <si>
    <t>#UC2PJ002</t>
  </si>
  <si>
    <t>è‚¥çŒ«</t>
  </si>
  <si>
    <t>#PPYJJ2P9</t>
  </si>
  <si>
    <t>æ¢¦è½çº¢å°˜æ•™å¯¼å¤§é˜Ÿ</t>
  </si>
  <si>
    <t>#2L99LYL8Q</t>
  </si>
  <si>
    <t>ã‘ã¤</t>
  </si>
  <si>
    <t>#2LUJ09CC</t>
  </si>
  <si>
    <t>GRAND CROWN</t>
  </si>
  <si>
    <t>#2PG20CUP0</t>
  </si>
  <si>
    <t>isaporon</t>
  </si>
  <si>
    <t>Average Trophy Total</t>
  </si>
  <si>
    <t>#2LVCL9L8C</t>
  </si>
  <si>
    <t>Hawk eye</t>
  </si>
  <si>
    <t>#2PG0QGC</t>
  </si>
  <si>
    <t>Er-Che-End</t>
  </si>
  <si>
    <t>#9QGY8PJRG</t>
  </si>
  <si>
    <t>Pungpung</t>
  </si>
  <si>
    <t>#P8CV902L</t>
  </si>
  <si>
    <t>nusantara war z</t>
  </si>
  <si>
    <t>#998YLU8YP</t>
  </si>
  <si>
    <t>ä¼šé£žçš„è€æŽ</t>
  </si>
  <si>
    <t>#PLYPUVGQ</t>
  </si>
  <si>
    <t>é­‘é­…é­é­‰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</si>
</sst>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9"/>
      <color theme="1"/>
      <name val="Calibri"/>
      <family val="2"/>
    </font>
    <font>
      <sz val="9"/>
      <color rgb="FF000000"/>
      <name val="Calibri"/>
      <family val="2"/>
    </font>
    <font>
      <b/>
      <sz val="9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NumberFormat="1"/>
    <xf numFmtId="2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65"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font>
        <color theme="1"/>
      </font>
      <fill>
        <patternFill>
          <bgColor theme="0"/>
        </patternFill>
      </fill>
    </dxf>
    <dxf>
      <font>
        <color theme="4" tint="-0.24994659260841701"/>
      </font>
      <fill>
        <patternFill>
          <bgColor theme="8" tint="0.79998168889431442"/>
        </patternFill>
      </fill>
    </dxf>
    <dxf>
      <font>
        <color theme="4" tint="-0.24994659260841701"/>
      </font>
      <fill>
        <patternFill>
          <bgColor theme="4" tint="0.79998168889431442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500000"/>
        </patternFill>
      </fill>
    </dxf>
    <dxf>
      <font>
        <color theme="0"/>
      </font>
      <fill>
        <patternFill>
          <bgColor rgb="FF16705B"/>
        </patternFill>
      </fill>
    </dxf>
  </dxfs>
  <tableStyles count="0" defaultTableStyle="TableStyleMedium2" defaultPivotStyle="PivotStyleLight16"/>
  <colors>
    <mruColors>
      <color rgb="FF16705B"/>
      <color rgb="FF500000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14</xdr:row>
          <xdr:rowOff>142875</xdr:rowOff>
        </xdr:from>
        <xdr:to>
          <xdr:col>8</xdr:col>
          <xdr:colOff>581025</xdr:colOff>
          <xdr:row>18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OVER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18</xdr:row>
          <xdr:rowOff>47625</xdr:rowOff>
        </xdr:from>
        <xdr:to>
          <xdr:col>8</xdr:col>
          <xdr:colOff>571500</xdr:colOff>
          <xdr:row>21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14</xdr:row>
          <xdr:rowOff>142875</xdr:rowOff>
        </xdr:from>
        <xdr:to>
          <xdr:col>11</xdr:col>
          <xdr:colOff>104775</xdr:colOff>
          <xdr:row>18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TOURNAMENT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18</xdr:row>
          <xdr:rowOff>57150</xdr:rowOff>
        </xdr:from>
        <xdr:to>
          <xdr:col>11</xdr:col>
          <xdr:colOff>114300</xdr:colOff>
          <xdr:row>21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CHALLENGE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A28E2BD-94C3-4E39-B3DA-8B98F82BDB22}" autoFormatId="16" applyNumberFormats="0" applyBorderFormats="0" applyFontFormats="0" applyPatternFormats="0" applyAlignmentFormats="0" applyWidthHeightFormats="0">
  <queryTableRefresh nextId="138" unboundColumnsRight="4">
    <queryTableFields count="137">
      <queryTableField id="1" name="type" tableColumnId="1"/>
      <queryTableField id="2" name="battleTime" tableColumnId="2"/>
      <queryTableField id="3" name="challengeId" tableColumnId="3"/>
      <queryTableField id="4" name="arena_id" tableColumnId="4"/>
      <queryTableField id="5" name="arena_name" tableColumnId="5"/>
      <queryTableField id="6" name="gameMode_id" tableColumnId="6"/>
      <queryTableField id="7" name="gameMode_name" tableColumnId="7"/>
      <queryTableField id="8" name="challengeWinCountBefore" tableColumnId="8"/>
      <queryTableField id="9" name="deckSelection" tableColumnId="9"/>
      <queryTableField id="10" name="team_0_tag" tableColumnId="10"/>
      <queryTableField id="11" name="team_0_name" tableColumnId="11"/>
      <queryTableField id="12" name="team_0_startingTrophies" tableColumnId="12"/>
      <queryTableField id="13" name="team_0_crowns" tableColumnId="13"/>
      <queryTableField id="14" name="team_0_clan_tag" tableColumnId="14"/>
      <queryTableField id="15" name="team_0_clan_name" tableColumnId="15"/>
      <queryTableField id="16" name="team_0_clan_badgeId" tableColumnId="16"/>
      <queryTableField id="17" name="team_0_cards_0_name" tableColumnId="17"/>
      <queryTableField id="18" name="team_0_cards_0_level" tableColumnId="18"/>
      <queryTableField id="19" name="team_0_cards_0_maxLevel" tableColumnId="19"/>
      <queryTableField id="20" name="team_0_cards_1_name" tableColumnId="20"/>
      <queryTableField id="21" name="team_0_cards_1_level" tableColumnId="21"/>
      <queryTableField id="22" name="team_0_cards_1_maxLevel" tableColumnId="22"/>
      <queryTableField id="23" name="team_0_cards_2_name" tableColumnId="23"/>
      <queryTableField id="24" name="team_0_cards_2_level" tableColumnId="24"/>
      <queryTableField id="25" name="team_0_cards_2_maxLevel" tableColumnId="25"/>
      <queryTableField id="26" name="team_0_cards_3_name" tableColumnId="26"/>
      <queryTableField id="27" name="team_0_cards_3_level" tableColumnId="27"/>
      <queryTableField id="28" name="team_0_cards_3_maxLevel" tableColumnId="28"/>
      <queryTableField id="29" name="team_0_cards_4_name" tableColumnId="29"/>
      <queryTableField id="30" name="team_0_cards_4_level" tableColumnId="30"/>
      <queryTableField id="31" name="team_0_cards_4_maxLevel" tableColumnId="31"/>
      <queryTableField id="32" name="team_0_cards_5_name" tableColumnId="32"/>
      <queryTableField id="33" name="team_0_cards_5_level" tableColumnId="33"/>
      <queryTableField id="34" name="team_0_cards_5_maxLevel" tableColumnId="34"/>
      <queryTableField id="35" name="team_0_cards_6_name" tableColumnId="35"/>
      <queryTableField id="36" name="team_0_cards_6_level" tableColumnId="36"/>
      <queryTableField id="37" name="team_0_cards_6_maxLevel" tableColumnId="37"/>
      <queryTableField id="38" name="team_0_cards_7_name" tableColumnId="38"/>
      <queryTableField id="39" name="team_0_cards_7_level" tableColumnId="39"/>
      <queryTableField id="40" name="team_0_cards_7_maxLevel" tableColumnId="40"/>
      <queryTableField id="41" name="team_1_tag" tableColumnId="41"/>
      <queryTableField id="42" name="team_1_name" tableColumnId="42"/>
      <queryTableField id="43" name="team_1_startingTrophies" tableColumnId="43"/>
      <queryTableField id="44" name="team_1_crowns" tableColumnId="44"/>
      <queryTableField id="45" name="team_1_clan_tag" tableColumnId="45"/>
      <queryTableField id="46" name="team_1_clan_name" tableColumnId="46"/>
      <queryTableField id="47" name="team_1_clan_badgeId" tableColumnId="47"/>
      <queryTableField id="48" name="team_1_cards_0_name" tableColumnId="48"/>
      <queryTableField id="49" name="team_1_cards_0_level" tableColumnId="49"/>
      <queryTableField id="50" name="team_1_cards_0_maxLevel" tableColumnId="50"/>
      <queryTableField id="51" name="team_1_cards_1_name" tableColumnId="51"/>
      <queryTableField id="52" name="team_1_cards_1_level" tableColumnId="52"/>
      <queryTableField id="53" name="team_1_cards_1_maxLevel" tableColumnId="53"/>
      <queryTableField id="54" name="team_1_cards_2_name" tableColumnId="54"/>
      <queryTableField id="55" name="team_1_cards_2_level" tableColumnId="55"/>
      <queryTableField id="56" name="team_1_cards_2_maxLevel" tableColumnId="56"/>
      <queryTableField id="57" name="team_1_cards_3_name" tableColumnId="57"/>
      <queryTableField id="58" name="team_1_cards_3_level" tableColumnId="58"/>
      <queryTableField id="59" name="team_1_cards_3_maxLevel" tableColumnId="59"/>
      <queryTableField id="60" name="team_1_cards_4_name" tableColumnId="60"/>
      <queryTableField id="61" name="team_1_cards_4_level" tableColumnId="61"/>
      <queryTableField id="62" name="team_1_cards_4_maxLevel" tableColumnId="62"/>
      <queryTableField id="63" name="team_1_cards_5_name" tableColumnId="63"/>
      <queryTableField id="64" name="team_1_cards_5_level" tableColumnId="64"/>
      <queryTableField id="65" name="team_1_cards_5_maxLevel" tableColumnId="65"/>
      <queryTableField id="66" name="team_1_cards_6_name" tableColumnId="66"/>
      <queryTableField id="67" name="team_1_cards_6_level" tableColumnId="67"/>
      <queryTableField id="68" name="team_1_cards_6_maxLevel" tableColumnId="68"/>
      <queryTableField id="69" name="team_1_cards_7_name" tableColumnId="69"/>
      <queryTableField id="70" name="team_1_cards_7_level" tableColumnId="70"/>
      <queryTableField id="71" name="team_1_cards_7_maxLevel" tableColumnId="71"/>
      <queryTableField id="72" name="opponent_0_tag" tableColumnId="72"/>
      <queryTableField id="73" name="opponent_0_name" tableColumnId="73"/>
      <queryTableField id="74" name="opponent_0_startingTrophies" tableColumnId="74"/>
      <queryTableField id="75" name="opponent_0_crowns" tableColumnId="75"/>
      <queryTableField id="76" name="opponent_0_clan_tag" tableColumnId="76"/>
      <queryTableField id="77" name="opponent_0_clan_name" tableColumnId="77"/>
      <queryTableField id="78" name="opponent_0_clan_badgeId" tableColumnId="78"/>
      <queryTableField id="79" name="opponent_0_cards_0_name" tableColumnId="79"/>
      <queryTableField id="80" name="opponent_0_cards_0_level" tableColumnId="80"/>
      <queryTableField id="81" name="opponent_0_cards_0_maxLevel" tableColumnId="81"/>
      <queryTableField id="82" name="opponent_0_cards_1_name" tableColumnId="82"/>
      <queryTableField id="83" name="opponent_0_cards_1_level" tableColumnId="83"/>
      <queryTableField id="84" name="opponent_0_cards_1_maxLevel" tableColumnId="84"/>
      <queryTableField id="85" name="opponent_0_cards_2_name" tableColumnId="85"/>
      <queryTableField id="86" name="opponent_0_cards_2_level" tableColumnId="86"/>
      <queryTableField id="87" name="opponent_0_cards_2_maxLevel" tableColumnId="87"/>
      <queryTableField id="88" name="opponent_0_cards_3_name" tableColumnId="88"/>
      <queryTableField id="89" name="opponent_0_cards_3_level" tableColumnId="89"/>
      <queryTableField id="90" name="opponent_0_cards_3_maxLevel" tableColumnId="90"/>
      <queryTableField id="91" name="opponent_0_cards_4_name" tableColumnId="91"/>
      <queryTableField id="92" name="opponent_0_cards_4_level" tableColumnId="92"/>
      <queryTableField id="93" name="opponent_0_cards_4_maxLevel" tableColumnId="93"/>
      <queryTableField id="94" name="opponent_0_cards_5_name" tableColumnId="94"/>
      <queryTableField id="95" name="opponent_0_cards_5_level" tableColumnId="95"/>
      <queryTableField id="96" name="opponent_0_cards_5_maxLevel" tableColumnId="96"/>
      <queryTableField id="97" name="opponent_0_cards_6_name" tableColumnId="97"/>
      <queryTableField id="98" name="opponent_0_cards_6_level" tableColumnId="98"/>
      <queryTableField id="99" name="opponent_0_cards_6_maxLevel" tableColumnId="99"/>
      <queryTableField id="100" name="opponent_0_cards_7_name" tableColumnId="100"/>
      <queryTableField id="101" name="opponent_0_cards_7_level" tableColumnId="101"/>
      <queryTableField id="102" name="opponent_0_cards_7_maxLevel" tableColumnId="102"/>
      <queryTableField id="103" name="opponent_1_tag" tableColumnId="103"/>
      <queryTableField id="104" name="opponent_1_name" tableColumnId="104"/>
      <queryTableField id="105" name="opponent_1_startingTrophies" tableColumnId="105"/>
      <queryTableField id="106" name="opponent_1_crowns" tableColumnId="106"/>
      <queryTableField id="107" name="opponent_1_clan_tag" tableColumnId="107"/>
      <queryTableField id="108" name="opponent_1_clan_name" tableColumnId="108"/>
      <queryTableField id="109" name="opponent_1_clan_badgeId" tableColumnId="109"/>
      <queryTableField id="110" name="opponent_1_cards_0_name" tableColumnId="110"/>
      <queryTableField id="111" name="opponent_1_cards_0_level" tableColumnId="111"/>
      <queryTableField id="112" name="opponent_1_cards_0_maxLevel" tableColumnId="112"/>
      <queryTableField id="113" name="opponent_1_cards_1_name" tableColumnId="113"/>
      <queryTableField id="114" name="opponent_1_cards_1_level" tableColumnId="114"/>
      <queryTableField id="115" name="opponent_1_cards_1_maxLevel" tableColumnId="115"/>
      <queryTableField id="116" name="opponent_1_cards_2_name" tableColumnId="116"/>
      <queryTableField id="117" name="opponent_1_cards_2_level" tableColumnId="117"/>
      <queryTableField id="118" name="opponent_1_cards_2_maxLevel" tableColumnId="118"/>
      <queryTableField id="119" name="opponent_1_cards_3_name" tableColumnId="119"/>
      <queryTableField id="120" name="opponent_1_cards_3_level" tableColumnId="120"/>
      <queryTableField id="121" name="opponent_1_cards_3_maxLevel" tableColumnId="121"/>
      <queryTableField id="122" name="opponent_1_cards_4_name" tableColumnId="122"/>
      <queryTableField id="123" name="opponent_1_cards_4_level" tableColumnId="123"/>
      <queryTableField id="124" name="opponent_1_cards_4_maxLevel" tableColumnId="124"/>
      <queryTableField id="125" name="opponent_1_cards_5_name" tableColumnId="125"/>
      <queryTableField id="126" name="opponent_1_cards_5_level" tableColumnId="126"/>
      <queryTableField id="127" name="opponent_1_cards_5_maxLevel" tableColumnId="127"/>
      <queryTableField id="128" name="opponent_1_cards_6_name" tableColumnId="128"/>
      <queryTableField id="129" name="opponent_1_cards_6_level" tableColumnId="129"/>
      <queryTableField id="130" name="opponent_1_cards_6_maxLevel" tableColumnId="130"/>
      <queryTableField id="131" name="opponent_1_cards_7_name" tableColumnId="131"/>
      <queryTableField id="132" name="opponent_1_cards_7_level" tableColumnId="132"/>
      <queryTableField id="133" name="opponent_1_cards_7_maxLevel" tableColumnId="133"/>
      <queryTableField id="134" dataBound="0" tableColumnId="134"/>
      <queryTableField id="135" dataBound="0" tableColumnId="135"/>
      <queryTableField id="136" dataBound="0" tableColumnId="136"/>
      <queryTableField id="137" dataBound="0" tableColumnId="13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EBABB-EA64-4068-866C-B19E5FEC33AB}" name="csv" displayName="csv" ref="A1:EG26" tableType="queryTable" totalsRowShown="0">
  <autoFilter ref="A1:EG26" xr:uid="{6B6B0D9E-136D-4D7E-B8B3-9BCEBFD957F2}"/>
  <tableColumns count="137">
    <tableColumn id="1" xr3:uid="{4C2875DD-9AEB-46EC-90CE-F56AE43D2D17}" uniqueName="1" name="type" queryTableFieldId="1" dataDxfId="58"/>
    <tableColumn id="2" xr3:uid="{0FC91342-D196-44DB-A712-17F084D05B28}" uniqueName="2" name="battleTime" queryTableFieldId="2" dataDxfId="57"/>
    <tableColumn id="3" xr3:uid="{59754ED9-5118-448F-8A16-7CC50D7186FD}" uniqueName="3" name="challengeId" queryTableFieldId="3"/>
    <tableColumn id="4" xr3:uid="{578BE069-ED0F-4CA5-9E58-9034407CAC72}" uniqueName="4" name="arena_id" queryTableFieldId="4"/>
    <tableColumn id="5" xr3:uid="{3885CA48-EE48-4A75-B863-812D2E2A1740}" uniqueName="5" name="arena_name" queryTableFieldId="5" dataDxfId="56"/>
    <tableColumn id="6" xr3:uid="{7F78AAED-8B70-487B-94FE-29E6E66F1A7F}" uniqueName="6" name="gameMode_id" queryTableFieldId="6"/>
    <tableColumn id="7" xr3:uid="{D654261D-8FB4-4655-94FF-F603025FC486}" uniqueName="7" name="gameMode_name" queryTableFieldId="7" dataDxfId="55"/>
    <tableColumn id="8" xr3:uid="{FD18E935-0BE5-48EF-A25D-A80115A1BB01}" uniqueName="8" name="challengeWinCountBefore" queryTableFieldId="8"/>
    <tableColumn id="9" xr3:uid="{4EF4CA10-9327-4416-8D12-D4D4D108F998}" uniqueName="9" name="deckSelection" queryTableFieldId="9" dataDxfId="54"/>
    <tableColumn id="10" xr3:uid="{8DAC7C0B-1025-416E-854D-08BDB4659F59}" uniqueName="10" name="team_0_tag" queryTableFieldId="10" dataDxfId="53"/>
    <tableColumn id="11" xr3:uid="{6A81E009-B404-4905-96A2-7E0B66EDD67B}" uniqueName="11" name="team_0_name" queryTableFieldId="11" dataDxfId="52"/>
    <tableColumn id="12" xr3:uid="{5590E771-AEC5-4A01-8625-757BC80CF840}" uniqueName="12" name="team_0_startingTrophies" queryTableFieldId="12"/>
    <tableColumn id="13" xr3:uid="{B1673D36-500E-4883-BB5E-7AA093ECA1DB}" uniqueName="13" name="team_0_crowns" queryTableFieldId="13"/>
    <tableColumn id="14" xr3:uid="{5657E398-4566-4CD1-8DD2-FFA46FDDDAD8}" uniqueName="14" name="team_0_clan_tag" queryTableFieldId="14" dataDxfId="51"/>
    <tableColumn id="15" xr3:uid="{FF4CF982-9F58-4FF7-9D1F-9A5F7327B7B1}" uniqueName="15" name="team_0_clan_name" queryTableFieldId="15" dataDxfId="50"/>
    <tableColumn id="16" xr3:uid="{D301C76A-9AEF-4713-9CF3-400B20AD748C}" uniqueName="16" name="team_0_clan_badgeId" queryTableFieldId="16"/>
    <tableColumn id="17" xr3:uid="{2701AD97-83A1-44C3-A086-7AD690EBAC09}" uniqueName="17" name="team_0_cards_0_name" queryTableFieldId="17" dataDxfId="49"/>
    <tableColumn id="18" xr3:uid="{E26BC9D5-4BE3-4592-9E14-95B4A4596B44}" uniqueName="18" name="team_0_cards_0_level" queryTableFieldId="18"/>
    <tableColumn id="19" xr3:uid="{51263634-23B4-4685-BF5E-0FA3EF2C4A41}" uniqueName="19" name="team_0_cards_0_maxLevel" queryTableFieldId="19"/>
    <tableColumn id="20" xr3:uid="{C4EB5208-3B14-4E91-A6A6-46996936ACAE}" uniqueName="20" name="team_0_cards_1_name" queryTableFieldId="20" dataDxfId="48"/>
    <tableColumn id="21" xr3:uid="{CDCD61C5-D1DE-41CC-A88A-2571EECCE29A}" uniqueName="21" name="team_0_cards_1_level" queryTableFieldId="21"/>
    <tableColumn id="22" xr3:uid="{D0635F7D-6BEB-4B30-B61C-96D79D51C693}" uniqueName="22" name="team_0_cards_1_maxLevel" queryTableFieldId="22"/>
    <tableColumn id="23" xr3:uid="{E431516A-4157-4416-B8A5-264D26B9ABBC}" uniqueName="23" name="team_0_cards_2_name" queryTableFieldId="23" dataDxfId="47"/>
    <tableColumn id="24" xr3:uid="{03941554-85BD-4D66-9DBF-54B78E715AE0}" uniqueName="24" name="team_0_cards_2_level" queryTableFieldId="24"/>
    <tableColumn id="25" xr3:uid="{C6F9396F-6A74-478C-87EA-4597D740297D}" uniqueName="25" name="team_0_cards_2_maxLevel" queryTableFieldId="25"/>
    <tableColumn id="26" xr3:uid="{0C00EB87-FE61-4797-8313-2A98DF57B445}" uniqueName="26" name="team_0_cards_3_name" queryTableFieldId="26" dataDxfId="46"/>
    <tableColumn id="27" xr3:uid="{F517DE6C-218B-42C1-BC88-E238E246817F}" uniqueName="27" name="team_0_cards_3_level" queryTableFieldId="27"/>
    <tableColumn id="28" xr3:uid="{98827FB6-5E50-4D2E-9355-ABF9935C5ADE}" uniqueName="28" name="team_0_cards_3_maxLevel" queryTableFieldId="28"/>
    <tableColumn id="29" xr3:uid="{7A4BAA08-CC3A-4421-919D-ED61D4B4E3EE}" uniqueName="29" name="team_0_cards_4_name" queryTableFieldId="29" dataDxfId="45"/>
    <tableColumn id="30" xr3:uid="{C644AB13-0C43-410E-8C68-5754B32726C5}" uniqueName="30" name="team_0_cards_4_level" queryTableFieldId="30"/>
    <tableColumn id="31" xr3:uid="{4FA59C8D-773C-4311-85BC-16C1A35C165B}" uniqueName="31" name="team_0_cards_4_maxLevel" queryTableFieldId="31"/>
    <tableColumn id="32" xr3:uid="{E21F8357-23DD-486B-9541-5EC104FD8673}" uniqueName="32" name="team_0_cards_5_name" queryTableFieldId="32" dataDxfId="44"/>
    <tableColumn id="33" xr3:uid="{FEDEB88D-AD5C-40F8-890D-44D15E3951DB}" uniqueName="33" name="team_0_cards_5_level" queryTableFieldId="33"/>
    <tableColumn id="34" xr3:uid="{34CAEAFB-A1FB-4E99-BF4A-7CDA0EF8F26E}" uniqueName="34" name="team_0_cards_5_maxLevel" queryTableFieldId="34"/>
    <tableColumn id="35" xr3:uid="{C5A15402-21AB-49E8-BBE8-12CDBD0613A4}" uniqueName="35" name="team_0_cards_6_name" queryTableFieldId="35" dataDxfId="43"/>
    <tableColumn id="36" xr3:uid="{AFBEA91D-2E4C-49BB-AD95-5728AA64D706}" uniqueName="36" name="team_0_cards_6_level" queryTableFieldId="36"/>
    <tableColumn id="37" xr3:uid="{A8444296-58F1-44A2-92BA-0343DFE04CDE}" uniqueName="37" name="team_0_cards_6_maxLevel" queryTableFieldId="37"/>
    <tableColumn id="38" xr3:uid="{7A176F88-F28E-4CE1-821F-C23E602BC85A}" uniqueName="38" name="team_0_cards_7_name" queryTableFieldId="38" dataDxfId="42"/>
    <tableColumn id="39" xr3:uid="{46D54364-D6EB-46DD-A495-D52E03A50CD7}" uniqueName="39" name="team_0_cards_7_level" queryTableFieldId="39"/>
    <tableColumn id="40" xr3:uid="{CE057A38-C273-4EFA-ADA2-5434CF2A4143}" uniqueName="40" name="team_0_cards_7_maxLevel" queryTableFieldId="40"/>
    <tableColumn id="41" xr3:uid="{8F3FAD00-207A-49DE-A6C1-361E3956CBE7}" uniqueName="41" name="team_1_tag" queryTableFieldId="41" dataDxfId="41"/>
    <tableColumn id="42" xr3:uid="{ED7A9D7E-B70C-4FE2-A812-52862CD294AD}" uniqueName="42" name="team_1_name" queryTableFieldId="42" dataDxfId="40"/>
    <tableColumn id="43" xr3:uid="{C36C7CA0-8908-45FA-A357-A7F0EFDC949B}" uniqueName="43" name="team_1_startingTrophies" queryTableFieldId="43" dataDxfId="39"/>
    <tableColumn id="44" xr3:uid="{CBA3CEA1-4D0F-41B8-995D-68F86604B7C8}" uniqueName="44" name="team_1_crowns" queryTableFieldId="44"/>
    <tableColumn id="45" xr3:uid="{9458A0A3-15CB-4E64-BFDF-8620DB6F81F9}" uniqueName="45" name="team_1_clan_tag" queryTableFieldId="45" dataDxfId="38"/>
    <tableColumn id="46" xr3:uid="{47D13FE9-33FA-423E-ADBC-7397A2FAB2FB}" uniqueName="46" name="team_1_clan_name" queryTableFieldId="46" dataDxfId="37"/>
    <tableColumn id="47" xr3:uid="{BFE89C77-D62B-4ED2-9E12-7BE8F571921B}" uniqueName="47" name="team_1_clan_badgeId" queryTableFieldId="47"/>
    <tableColumn id="48" xr3:uid="{24C97042-DE6B-43AC-BCED-C5B93535AF8C}" uniqueName="48" name="team_1_cards_0_name" queryTableFieldId="48" dataDxfId="36"/>
    <tableColumn id="49" xr3:uid="{32A6DD5C-4DDA-4DBF-8067-2E76226CDC65}" uniqueName="49" name="team_1_cards_0_level" queryTableFieldId="49"/>
    <tableColumn id="50" xr3:uid="{EC22D8CB-B44B-4D5A-B227-57DA9C8CB41D}" uniqueName="50" name="team_1_cards_0_maxLevel" queryTableFieldId="50"/>
    <tableColumn id="51" xr3:uid="{AD71E1BC-FFFC-4FBB-AAC0-6B5AAADB498F}" uniqueName="51" name="team_1_cards_1_name" queryTableFieldId="51" dataDxfId="35"/>
    <tableColumn id="52" xr3:uid="{7FA0D8E7-13EF-47BC-A651-CB684D4E9CCB}" uniqueName="52" name="team_1_cards_1_level" queryTableFieldId="52"/>
    <tableColumn id="53" xr3:uid="{4ED4EE35-FE36-437C-93FD-037FBBC2FCF5}" uniqueName="53" name="team_1_cards_1_maxLevel" queryTableFieldId="53"/>
    <tableColumn id="54" xr3:uid="{9458AFF6-4396-4CEB-A24E-E62283D75127}" uniqueName="54" name="team_1_cards_2_name" queryTableFieldId="54" dataDxfId="34"/>
    <tableColumn id="55" xr3:uid="{EFDFD8B6-515E-4449-9F8A-02E274BDECB2}" uniqueName="55" name="team_1_cards_2_level" queryTableFieldId="55"/>
    <tableColumn id="56" xr3:uid="{1CE12523-0E06-4366-8302-241F65302210}" uniqueName="56" name="team_1_cards_2_maxLevel" queryTableFieldId="56"/>
    <tableColumn id="57" xr3:uid="{2C4C180B-35D1-417E-A573-2EB364DCF3AA}" uniqueName="57" name="team_1_cards_3_name" queryTableFieldId="57" dataDxfId="33"/>
    <tableColumn id="58" xr3:uid="{B3FDB8A5-C2D7-49D4-A8BF-EC769A4FA96E}" uniqueName="58" name="team_1_cards_3_level" queryTableFieldId="58"/>
    <tableColumn id="59" xr3:uid="{0ECCAE54-8DB1-4A10-9C6F-4009ECE8B43F}" uniqueName="59" name="team_1_cards_3_maxLevel" queryTableFieldId="59"/>
    <tableColumn id="60" xr3:uid="{83CE2A6E-45B3-494A-9F9F-6992D9C0CB28}" uniqueName="60" name="team_1_cards_4_name" queryTableFieldId="60" dataDxfId="32"/>
    <tableColumn id="61" xr3:uid="{CCB9CE92-29BE-4778-B151-EAF88E90DF76}" uniqueName="61" name="team_1_cards_4_level" queryTableFieldId="61"/>
    <tableColumn id="62" xr3:uid="{88D1F33B-235C-4560-BA5B-8CCA9B92693C}" uniqueName="62" name="team_1_cards_4_maxLevel" queryTableFieldId="62"/>
    <tableColumn id="63" xr3:uid="{30694615-B12B-4BD5-86E4-C7708F4D36E6}" uniqueName="63" name="team_1_cards_5_name" queryTableFieldId="63" dataDxfId="31"/>
    <tableColumn id="64" xr3:uid="{7B426CF7-A9ED-4444-A036-3241938F30C9}" uniqueName="64" name="team_1_cards_5_level" queryTableFieldId="64"/>
    <tableColumn id="65" xr3:uid="{7EDEE992-C999-4B13-A67E-29C4979A138D}" uniqueName="65" name="team_1_cards_5_maxLevel" queryTableFieldId="65"/>
    <tableColumn id="66" xr3:uid="{520AA75C-4205-4D16-90D0-8D56A0966794}" uniqueName="66" name="team_1_cards_6_name" queryTableFieldId="66" dataDxfId="30"/>
    <tableColumn id="67" xr3:uid="{AF13BEDB-987E-426D-B37F-0B3F31C6CF9F}" uniqueName="67" name="team_1_cards_6_level" queryTableFieldId="67"/>
    <tableColumn id="68" xr3:uid="{9D33F070-4E57-4154-B114-A362A6EA595E}" uniqueName="68" name="team_1_cards_6_maxLevel" queryTableFieldId="68"/>
    <tableColumn id="69" xr3:uid="{50918953-D448-4360-8AEC-1D5155F49194}" uniqueName="69" name="team_1_cards_7_name" queryTableFieldId="69" dataDxfId="29"/>
    <tableColumn id="70" xr3:uid="{C8BAB258-3AB0-40F0-9C4F-712172662CBC}" uniqueName="70" name="team_1_cards_7_level" queryTableFieldId="70"/>
    <tableColumn id="71" xr3:uid="{A7D0DDAB-5B77-48A5-9C61-ED8443E2DCE3}" uniqueName="71" name="team_1_cards_7_maxLevel" queryTableFieldId="71"/>
    <tableColumn id="72" xr3:uid="{2268C2E0-9869-4799-91FD-13A6EB5DF2A7}" uniqueName="72" name="opponent_0_tag" queryTableFieldId="72" dataDxfId="28"/>
    <tableColumn id="73" xr3:uid="{85A7D1E3-E496-4240-BBAD-C0A913EAB10A}" uniqueName="73" name="opponent_0_name" queryTableFieldId="73" dataDxfId="27"/>
    <tableColumn id="74" xr3:uid="{C6085872-03A7-4C68-83D7-806E2AB48837}" uniqueName="74" name="opponent_0_startingTrophies" queryTableFieldId="74"/>
    <tableColumn id="75" xr3:uid="{04555AF0-6260-414A-AD82-FC7DF40C6F95}" uniqueName="75" name="opponent_0_crowns" queryTableFieldId="75"/>
    <tableColumn id="76" xr3:uid="{A4F3D627-3ADA-4F42-8A4F-051128ECF8EA}" uniqueName="76" name="opponent_0_clan_tag" queryTableFieldId="76" dataDxfId="26"/>
    <tableColumn id="77" xr3:uid="{9EAEEBB4-F6C2-46CF-B4C1-4E4F9B441C68}" uniqueName="77" name="opponent_0_clan_name" queryTableFieldId="77" dataDxfId="25"/>
    <tableColumn id="78" xr3:uid="{1AE9A505-D0F8-4098-82CD-CE5D3F24BB66}" uniqueName="78" name="opponent_0_clan_badgeId" queryTableFieldId="78"/>
    <tableColumn id="79" xr3:uid="{8E846775-28A7-481D-956C-BD61A87C871E}" uniqueName="79" name="opponent_0_cards_0_name" queryTableFieldId="79" dataDxfId="24"/>
    <tableColumn id="80" xr3:uid="{1C8654C7-BA6C-45FE-A624-D7D688FCE4D5}" uniqueName="80" name="opponent_0_cards_0_level" queryTableFieldId="80"/>
    <tableColumn id="81" xr3:uid="{48E86B24-566E-4314-8CB1-D60BCBBD3D05}" uniqueName="81" name="opponent_0_cards_0_maxLevel" queryTableFieldId="81"/>
    <tableColumn id="82" xr3:uid="{CFEB0054-99D8-498D-AC28-1F237513B53E}" uniqueName="82" name="opponent_0_cards_1_name" queryTableFieldId="82" dataDxfId="23"/>
    <tableColumn id="83" xr3:uid="{5FC53D7A-317C-4C49-8882-82611A4D68FA}" uniqueName="83" name="opponent_0_cards_1_level" queryTableFieldId="83"/>
    <tableColumn id="84" xr3:uid="{B2C8E908-079C-4FD8-9378-DC56438A7E42}" uniqueName="84" name="opponent_0_cards_1_maxLevel" queryTableFieldId="84"/>
    <tableColumn id="85" xr3:uid="{81BE294E-1E21-4FCD-99CB-918858D9F1FA}" uniqueName="85" name="opponent_0_cards_2_name" queryTableFieldId="85" dataDxfId="22"/>
    <tableColumn id="86" xr3:uid="{54C2CCB7-0469-4F77-A55D-ED78AA37336A}" uniqueName="86" name="opponent_0_cards_2_level" queryTableFieldId="86"/>
    <tableColumn id="87" xr3:uid="{C7550CFD-9945-42F8-94F4-FA9955897413}" uniqueName="87" name="opponent_0_cards_2_maxLevel" queryTableFieldId="87"/>
    <tableColumn id="88" xr3:uid="{70B15D7B-B88D-4F72-B463-EBC5BB4E0550}" uniqueName="88" name="opponent_0_cards_3_name" queryTableFieldId="88" dataDxfId="21"/>
    <tableColumn id="89" xr3:uid="{B1DE41E6-6519-421E-BAD9-24619C074625}" uniqueName="89" name="opponent_0_cards_3_level" queryTableFieldId="89"/>
    <tableColumn id="90" xr3:uid="{37025269-A19A-4AE3-BE67-B024FB8C17A6}" uniqueName="90" name="opponent_0_cards_3_maxLevel" queryTableFieldId="90"/>
    <tableColumn id="91" xr3:uid="{395C5304-ACB2-4C7F-82FB-47E40921F21C}" uniqueName="91" name="opponent_0_cards_4_name" queryTableFieldId="91" dataDxfId="20"/>
    <tableColumn id="92" xr3:uid="{40A43F45-DE19-4D61-A704-D4A045C8BA98}" uniqueName="92" name="opponent_0_cards_4_level" queryTableFieldId="92"/>
    <tableColumn id="93" xr3:uid="{2AEA5664-C877-4C3A-AB3B-74C4DCF2D5C2}" uniqueName="93" name="opponent_0_cards_4_maxLevel" queryTableFieldId="93"/>
    <tableColumn id="94" xr3:uid="{F18109E9-A0FA-42C3-9A6B-1F10770E81D6}" uniqueName="94" name="opponent_0_cards_5_name" queryTableFieldId="94" dataDxfId="19"/>
    <tableColumn id="95" xr3:uid="{356D041B-BA6B-49BC-84D2-A3FBFC4050BC}" uniqueName="95" name="opponent_0_cards_5_level" queryTableFieldId="95"/>
    <tableColumn id="96" xr3:uid="{2449C619-A92C-4328-830E-6CF25AF3EB5C}" uniqueName="96" name="opponent_0_cards_5_maxLevel" queryTableFieldId="96"/>
    <tableColumn id="97" xr3:uid="{5B5D0C52-C130-4BB6-9E3D-C4C9DB4ADF9D}" uniqueName="97" name="opponent_0_cards_6_name" queryTableFieldId="97" dataDxfId="18"/>
    <tableColumn id="98" xr3:uid="{A4D55AD7-BB71-4D3C-A0D3-3B4D5100276B}" uniqueName="98" name="opponent_0_cards_6_level" queryTableFieldId="98"/>
    <tableColumn id="99" xr3:uid="{50625842-5925-4EDC-82F9-3CCDE36F9E8E}" uniqueName="99" name="opponent_0_cards_6_maxLevel" queryTableFieldId="99"/>
    <tableColumn id="100" xr3:uid="{776B6159-3F5E-4450-AB70-D207EE7C45B2}" uniqueName="100" name="opponent_0_cards_7_name" queryTableFieldId="100" dataDxfId="17"/>
    <tableColumn id="101" xr3:uid="{8A664CCD-A590-4534-9B94-923246DD2352}" uniqueName="101" name="opponent_0_cards_7_level" queryTableFieldId="101"/>
    <tableColumn id="102" xr3:uid="{7A819F00-6013-4CEA-8C1B-E4AA71F95413}" uniqueName="102" name="opponent_0_cards_7_maxLevel" queryTableFieldId="102"/>
    <tableColumn id="103" xr3:uid="{E13F2FED-602F-454D-83B9-5C28A496453B}" uniqueName="103" name="opponent_1_tag" queryTableFieldId="103" dataDxfId="16"/>
    <tableColumn id="104" xr3:uid="{F6C510C4-52FD-405A-A874-3CAC94A04E5E}" uniqueName="104" name="opponent_1_name" queryTableFieldId="104" dataDxfId="15"/>
    <tableColumn id="105" xr3:uid="{3E34A964-0FBD-449D-8FC4-269B7B4184B1}" uniqueName="105" name="opponent_1_startingTrophies" queryTableFieldId="105" dataDxfId="14"/>
    <tableColumn id="106" xr3:uid="{3865A1CE-EBC8-4995-8161-5467D3EB3887}" uniqueName="106" name="opponent_1_crowns" queryTableFieldId="106"/>
    <tableColumn id="107" xr3:uid="{D606306D-EBA8-4BFF-8273-1471E062B2E7}" uniqueName="107" name="opponent_1_clan_tag" queryTableFieldId="107" dataDxfId="13"/>
    <tableColumn id="108" xr3:uid="{FADE42D7-024A-4A1B-B86B-9991CA578DD9}" uniqueName="108" name="opponent_1_clan_name" queryTableFieldId="108" dataDxfId="12"/>
    <tableColumn id="109" xr3:uid="{B364DE66-5CE2-4C2A-8B81-E763D7C36854}" uniqueName="109" name="opponent_1_clan_badgeId" queryTableFieldId="109"/>
    <tableColumn id="110" xr3:uid="{F2CCC724-EC99-41DB-861C-F53383BA39BA}" uniqueName="110" name="opponent_1_cards_0_name" queryTableFieldId="110" dataDxfId="11"/>
    <tableColumn id="111" xr3:uid="{5AD55A73-19EB-41C8-AA4A-7FFA5A31FC18}" uniqueName="111" name="opponent_1_cards_0_level" queryTableFieldId="111"/>
    <tableColumn id="112" xr3:uid="{2948CEB7-FC5C-408A-A69D-D35D7EC96A3D}" uniqueName="112" name="opponent_1_cards_0_maxLevel" queryTableFieldId="112"/>
    <tableColumn id="113" xr3:uid="{38C4A5A7-3710-426A-B37A-1D991D24A55B}" uniqueName="113" name="opponent_1_cards_1_name" queryTableFieldId="113" dataDxfId="10"/>
    <tableColumn id="114" xr3:uid="{31009AAC-56C6-4B31-87A9-9FEF8F95654D}" uniqueName="114" name="opponent_1_cards_1_level" queryTableFieldId="114"/>
    <tableColumn id="115" xr3:uid="{FFCD705F-0B4E-4162-BFA0-EB3696A5BF56}" uniqueName="115" name="opponent_1_cards_1_maxLevel" queryTableFieldId="115"/>
    <tableColumn id="116" xr3:uid="{EFBCD12E-54EE-46EB-B503-825B8FDB7D86}" uniqueName="116" name="opponent_1_cards_2_name" queryTableFieldId="116" dataDxfId="9"/>
    <tableColumn id="117" xr3:uid="{C007B229-B8DF-49EF-A274-BFEBEAE547E7}" uniqueName="117" name="opponent_1_cards_2_level" queryTableFieldId="117"/>
    <tableColumn id="118" xr3:uid="{FA5372C5-E7C6-4923-9F9C-B92D575FBF5B}" uniqueName="118" name="opponent_1_cards_2_maxLevel" queryTableFieldId="118"/>
    <tableColumn id="119" xr3:uid="{865A8A59-66A6-4CF4-974F-53AAB1F77186}" uniqueName="119" name="opponent_1_cards_3_name" queryTableFieldId="119" dataDxfId="8"/>
    <tableColumn id="120" xr3:uid="{D20510A4-A2D6-4E41-9E64-B5564A59C3D4}" uniqueName="120" name="opponent_1_cards_3_level" queryTableFieldId="120"/>
    <tableColumn id="121" xr3:uid="{8B15B92D-91CB-4512-91AD-8678D01CC77E}" uniqueName="121" name="opponent_1_cards_3_maxLevel" queryTableFieldId="121"/>
    <tableColumn id="122" xr3:uid="{36A9ED3B-7AEC-4D09-B3E7-D558D586CC9B}" uniqueName="122" name="opponent_1_cards_4_name" queryTableFieldId="122" dataDxfId="7"/>
    <tableColumn id="123" xr3:uid="{6140E48D-D917-4372-85DB-BB057BB96529}" uniqueName="123" name="opponent_1_cards_4_level" queryTableFieldId="123"/>
    <tableColumn id="124" xr3:uid="{58E0BD3B-2AD7-45B0-8EF8-E3EEA6FF531E}" uniqueName="124" name="opponent_1_cards_4_maxLevel" queryTableFieldId="124"/>
    <tableColumn id="125" xr3:uid="{550DA44D-386E-48BB-A1B8-DA4A34DF3CBD}" uniqueName="125" name="opponent_1_cards_5_name" queryTableFieldId="125" dataDxfId="6"/>
    <tableColumn id="126" xr3:uid="{07B1C11D-F567-404E-BE5D-35ADB570C7DC}" uniqueName="126" name="opponent_1_cards_5_level" queryTableFieldId="126"/>
    <tableColumn id="127" xr3:uid="{19DC587C-9271-410E-910F-6D464AF11A9E}" uniqueName="127" name="opponent_1_cards_5_maxLevel" queryTableFieldId="127"/>
    <tableColumn id="128" xr3:uid="{B318CA1C-BB5D-491A-8EAC-ECB476BAEF90}" uniqueName="128" name="opponent_1_cards_6_name" queryTableFieldId="128" dataDxfId="5"/>
    <tableColumn id="129" xr3:uid="{053F7CF8-128B-409F-BA08-C9C465CDBE5F}" uniqueName="129" name="opponent_1_cards_6_level" queryTableFieldId="129"/>
    <tableColumn id="130" xr3:uid="{583DFF6B-2E1B-474E-B0EB-F8797B4630E4}" uniqueName="130" name="opponent_1_cards_6_maxLevel" queryTableFieldId="130"/>
    <tableColumn id="131" xr3:uid="{40CC74A8-11B9-4E64-BC44-759205032D46}" uniqueName="131" name="opponent_1_cards_7_name" queryTableFieldId="131" dataDxfId="4"/>
    <tableColumn id="132" xr3:uid="{932675EF-3279-458F-9D00-C7C688265D96}" uniqueName="132" name="opponent_1_cards_7_level" queryTableFieldId="132"/>
    <tableColumn id="133" xr3:uid="{882C0299-479A-462A-A24B-0620CBFFB891}" uniqueName="133" name="opponent_1_cards_7_maxLevel" queryTableFieldId="133"/>
    <tableColumn id="134" xr3:uid="{56041676-2750-40A9-B70B-18C72EA1D0A8}" uniqueName="134" name="final_score" queryTableFieldId="134" dataDxfId="3">
      <calculatedColumnFormula>M2 - BW2</calculatedColumnFormula>
    </tableColumn>
    <tableColumn id="135" xr3:uid="{30DC4142-A826-449E-ACE0-8B78B383332E}" uniqueName="135" name="game_result" queryTableFieldId="135" dataDxfId="2">
      <calculatedColumnFormula>IF(M2 = BW2, 0, IF(M2 &gt; BW2, 1, IF(M2 &lt; BW2, -1, "")))</calculatedColumnFormula>
    </tableColumn>
    <tableColumn id="136" xr3:uid="{2BCD5265-5C23-4BCD-A461-0FE7171F7A44}" uniqueName="136" name="my_average" queryTableFieldId="136" dataDxfId="1">
      <calculatedColumnFormula>ROUND(AVERAGE(VLOOKUP(Q2, E!A:B, 2, FALSE), VLOOKUP(T2, E!A:B, 2, FALSE), VLOOKUP(W2, E!A:B, 2, FALSE), VLOOKUP(Z2, E!A:B, 2, FALSE), VLOOKUP(AC2, E!A:B, 2, FALSE), VLOOKUP(AF2, E!A:B, 2, FALSE), VLOOKUP(AI2, E!A:B, 2, FALSE), VLOOKUP(AL2, E!A:B, 2, FALSE)), 1)</calculatedColumnFormula>
    </tableColumn>
    <tableColumn id="137" xr3:uid="{EC8FAF28-889D-4FDB-A4D7-3E5AC6053E93}" uniqueName="137" name="opp_average" queryTableFieldId="137" dataDxfId="0">
      <calculatedColumnFormula>ROUND(AVERAGE(VLOOKUP(CA2, E!A:B, 2, FALSE), VLOOKUP(CD2, E!A:B, 2, FALSE), VLOOKUP(CG2, E!A:B, 2, FALSE), VLOOKUP(CJ2, E!A:B, 2, FALSE), VLOOKUP(CM2, E!A:B, 2, FALSE), VLOOKUP(CP2, E!A:B, 2, FALSE), VLOOKUP(CS2, E!A:B, 2, FALSE), VLOOKUP(CV2, E!A:B, 2, FALSE)), 1)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C239B-5449-4E52-A7E7-0EB00C103DF9}">
  <sheetPr codeName="Sheet1"/>
  <dimension ref="A1:K89"/>
  <sheetViews>
    <sheetView tabSelected="1" zoomScaleNormal="100" workbookViewId="0">
      <selection sqref="A1:F1"/>
    </sheetView>
  </sheetViews>
  <sheetFormatPr defaultRowHeight="12" x14ac:dyDescent="0.2"/>
  <cols>
    <col min="1" max="1" width="17.83203125" bestFit="1" customWidth="1"/>
    <col min="2" max="3" width="7.5" bestFit="1" customWidth="1"/>
    <col min="4" max="4" width="6.5" bestFit="1" customWidth="1"/>
    <col min="5" max="5" width="5.5" bestFit="1" customWidth="1"/>
    <col min="6" max="6" width="6.1640625" bestFit="1" customWidth="1"/>
    <col min="7" max="7" width="2" hidden="1" customWidth="1"/>
    <col min="8" max="8" width="17.5" bestFit="1" customWidth="1"/>
    <col min="9" max="9" width="10.33203125" bestFit="1" customWidth="1"/>
    <col min="10" max="10" width="16.33203125" bestFit="1" customWidth="1"/>
    <col min="11" max="11" width="10.33203125" bestFit="1" customWidth="1"/>
  </cols>
  <sheetData>
    <row r="1" spans="1:11" x14ac:dyDescent="0.2">
      <c r="A1" s="8" t="s">
        <v>240</v>
      </c>
      <c r="B1" s="8"/>
      <c r="C1" s="8"/>
      <c r="D1" s="8"/>
      <c r="E1" s="8"/>
      <c r="F1" s="8"/>
      <c r="H1" s="9" t="str">
        <f>IFERROR(IF(H13="","","Last Game Played: "&amp;IF(H13="challenge","Challenge",IF(H13="PvP","Ranked",IF(H13="tournament","Blitz Tournament","Other"))))&amp;" | Score: "&amp;VLOOKUP(H13,'C'!A:BW,13,FALSE)&amp;"-"&amp;VLOOKUP(H13,'C'!A:BW,75,FALSE)&amp;" | "&amp;IFERROR(IF(VLOOKUP(H13,'C'!A:ZZ,135,FALSE)=1,"Win ",IF(VLOOKUP(H13,'C'!A:ZZ,135,FALSE)=-1,"Loss",IF(VLOOKUP(H13,'C'!A:ZZ,135,FALSE)=0,"Tie ",""))),""), "")</f>
        <v/>
      </c>
      <c r="I1" s="9"/>
      <c r="J1" s="9"/>
      <c r="K1" s="9"/>
    </row>
    <row r="2" spans="1:11" x14ac:dyDescent="0.2">
      <c r="A2" t="s">
        <v>239</v>
      </c>
      <c r="B2" t="s">
        <v>238</v>
      </c>
      <c r="C2" t="s">
        <v>233</v>
      </c>
      <c r="D2" t="s">
        <v>234</v>
      </c>
      <c r="E2" t="s">
        <v>235</v>
      </c>
      <c r="F2" t="s">
        <v>237</v>
      </c>
      <c r="H2" s="6" t="str">
        <f>IFERROR(IF(H13="","Opponent","Opponent | "&amp;TEXT(VLOOKUP(H13,'C'!A:EG,137,FALSE), "0.0")), "Opponent")</f>
        <v>Opponent</v>
      </c>
      <c r="I2" s="7" t="str">
        <f>IFERROR(VLOOKUP(H13,'C'!A:BV, 74, FALSE), "")</f>
        <v/>
      </c>
      <c r="J2" t="str">
        <f>IFERROR(IF(H13 = "", "Lineup", "Lineup | "&amp;TEXT(VLOOKUP(H13,'C'!A:EG,136,FALSE), "0.0")), "Lineup")</f>
        <v>Lineup</v>
      </c>
      <c r="K2" s="7" t="str">
        <f>IFERROR(VLOOKUP(H13,'C'!A:BV, 12, FALSE), "")</f>
        <v/>
      </c>
    </row>
    <row r="3" spans="1:11" x14ac:dyDescent="0.2">
      <c r="A3" t="s">
        <v>141</v>
      </c>
      <c r="B3" s="5" t="s">
        <v>249</v>
      </c>
      <c r="C3" s="3"/>
      <c r="D3" s="3"/>
      <c r="E3" s="3"/>
      <c r="H3" t="str">
        <f>IFERROR(VLOOKUP(H13,'C'!A:CW, 79, FALSE), "")</f>
        <v/>
      </c>
      <c r="I3" s="4" t="str">
        <f>IFERROR(VLOOKUP(H13,'C'!A:CW, 80, FALSE), "")</f>
        <v/>
      </c>
      <c r="J3" t="str">
        <f>IFERROR(VLOOKUP(H13,'C'!A:CW, 17, FALSE), "")</f>
        <v/>
      </c>
      <c r="K3" s="4" t="str">
        <f>IFERROR(VLOOKUP(H13,'C'!A:CW, 18, FALSE), "")</f>
        <v/>
      </c>
    </row>
    <row r="4" spans="1:11" x14ac:dyDescent="0.2">
      <c r="A4" t="s">
        <v>142</v>
      </c>
      <c r="B4" s="5"/>
      <c r="C4" s="3"/>
      <c r="D4" s="3"/>
      <c r="E4" s="3"/>
      <c r="H4" t="str">
        <f>IFERROR(VLOOKUP(H13,'C'!A:CW, 82, FALSE), "")</f>
        <v/>
      </c>
      <c r="I4" s="4" t="str">
        <f>IFERROR(VLOOKUP(H13,'C'!A:CW, 83, FALSE), "")</f>
        <v/>
      </c>
      <c r="J4" t="str">
        <f>IFERROR(VLOOKUP(H13,'C'!A:CW, 20, FALSE), "")</f>
        <v/>
      </c>
      <c r="K4" s="4" t="str">
        <f>IFERROR(VLOOKUP(H13,'C'!A:CW, 21, FALSE), "")</f>
        <v/>
      </c>
    </row>
    <row r="5" spans="1:11" x14ac:dyDescent="0.2">
      <c r="A5" t="s">
        <v>162</v>
      </c>
      <c r="B5" s="5"/>
      <c r="C5" s="3"/>
      <c r="D5" s="3"/>
      <c r="E5" s="3"/>
      <c r="H5" t="str">
        <f>IFERROR(VLOOKUP(H13,'C'!A:CW, 85, FALSE), "")</f>
        <v/>
      </c>
      <c r="I5" s="4" t="str">
        <f>IFERROR(VLOOKUP(H13,'C'!A:CW, 86, FALSE), "")</f>
        <v/>
      </c>
      <c r="J5" t="str">
        <f>IFERROR(VLOOKUP(H13,'C'!A:CW, 23, FALSE), "")</f>
        <v/>
      </c>
      <c r="K5" s="4" t="str">
        <f>IFERROR(VLOOKUP(H13,'C'!A:CW, 24, FALSE), "")</f>
        <v/>
      </c>
    </row>
    <row r="6" spans="1:11" x14ac:dyDescent="0.2">
      <c r="A6" t="s">
        <v>158</v>
      </c>
      <c r="B6" s="5"/>
      <c r="C6" s="3"/>
      <c r="D6" s="3"/>
      <c r="E6" s="3"/>
      <c r="H6" t="str">
        <f>IFERROR(VLOOKUP(H13,'C'!A:CW, 88, FALSE), "")</f>
        <v/>
      </c>
      <c r="I6" s="4" t="str">
        <f>IFERROR(VLOOKUP(H13,'C'!A:CW, 89, FALSE), "")</f>
        <v/>
      </c>
      <c r="J6" t="str">
        <f>IFERROR(VLOOKUP(H13,'C'!A:CW, 26, FALSE), "")</f>
        <v/>
      </c>
      <c r="K6" s="4" t="str">
        <f>IFERROR(VLOOKUP(H13,'C'!A:CW, 27, FALSE), "")</f>
        <v/>
      </c>
    </row>
    <row r="7" spans="1:11" x14ac:dyDescent="0.2">
      <c r="A7" t="s">
        <v>157</v>
      </c>
      <c r="B7" s="5"/>
      <c r="C7" s="3"/>
      <c r="D7" s="3"/>
      <c r="E7" s="3"/>
      <c r="H7" t="str">
        <f>IFERROR(VLOOKUP(H13,'C'!A:CW, 91, FALSE), "")</f>
        <v/>
      </c>
      <c r="I7" s="4" t="str">
        <f>IFERROR(VLOOKUP(H13,'C'!A:CW, 92, FALSE), "")</f>
        <v/>
      </c>
      <c r="J7" t="str">
        <f>IFERROR(VLOOKUP(H13,'C'!A:CW, 29, FALSE), "")</f>
        <v/>
      </c>
      <c r="K7" s="4" t="str">
        <f>IFERROR(VLOOKUP(H13,'C'!A:CW, 30, FALSE), "")</f>
        <v/>
      </c>
    </row>
    <row r="8" spans="1:11" x14ac:dyDescent="0.2">
      <c r="A8" t="s">
        <v>156</v>
      </c>
      <c r="B8" s="5"/>
      <c r="C8" s="3"/>
      <c r="D8" s="3"/>
      <c r="E8" s="3"/>
      <c r="H8" t="str">
        <f>IFERROR(VLOOKUP(H13,'C'!A:CW, 94, FALSE), "")</f>
        <v/>
      </c>
      <c r="I8" s="4" t="str">
        <f>IFERROR(VLOOKUP(H13,'C'!A:CW, 95, FALSE), "")</f>
        <v/>
      </c>
      <c r="J8" t="str">
        <f>IFERROR(VLOOKUP(H13,'C'!A:CW, 32, FALSE), "")</f>
        <v/>
      </c>
      <c r="K8" s="4" t="str">
        <f>IFERROR(VLOOKUP(H13,'C'!A:CW, 33, FALSE), "")</f>
        <v/>
      </c>
    </row>
    <row r="9" spans="1:11" x14ac:dyDescent="0.2">
      <c r="A9" t="s">
        <v>215</v>
      </c>
      <c r="B9" s="5"/>
      <c r="C9" s="3"/>
      <c r="D9" s="3"/>
      <c r="E9" s="3"/>
      <c r="H9" t="str">
        <f>IFERROR(VLOOKUP(H13,'C'!A:CW, 97, FALSE), "")</f>
        <v/>
      </c>
      <c r="I9" s="4" t="str">
        <f>IFERROR(VLOOKUP(H13,'C'!A:CW, 98, FALSE), "")</f>
        <v/>
      </c>
      <c r="J9" t="str">
        <f>IFERROR(VLOOKUP(H13,'C'!A:CW, 35, FALSE), "")</f>
        <v/>
      </c>
      <c r="K9" s="4" t="str">
        <f>IFERROR(VLOOKUP(H13,'C'!A:CW, 36, FALSE), "")</f>
        <v/>
      </c>
    </row>
    <row r="10" spans="1:11" x14ac:dyDescent="0.2">
      <c r="A10" t="s">
        <v>190</v>
      </c>
      <c r="B10" s="5"/>
      <c r="C10" s="3"/>
      <c r="D10" s="3"/>
      <c r="E10" s="3"/>
      <c r="H10" t="str">
        <f>IFERROR(VLOOKUP(H13,'C'!A:CW, 100, FALSE), "")</f>
        <v/>
      </c>
      <c r="I10" s="4" t="str">
        <f>IFERROR(VLOOKUP(H13,'C'!A:CW, 101, FALSE), "")</f>
        <v/>
      </c>
      <c r="J10" t="str">
        <f>IFERROR(VLOOKUP(H13,'C'!A:CW, 38, FALSE), "")</f>
        <v/>
      </c>
      <c r="K10" s="4" t="str">
        <f>IFERROR(VLOOKUP(H13,'C'!A:CW, 39, FALSE), "")</f>
        <v/>
      </c>
    </row>
    <row r="11" spans="1:11" x14ac:dyDescent="0.2">
      <c r="A11" t="s">
        <v>200</v>
      </c>
      <c r="B11" s="5"/>
      <c r="C11" s="3"/>
      <c r="D11" s="3"/>
      <c r="E11" s="3"/>
    </row>
    <row r="12" spans="1:11" x14ac:dyDescent="0.2">
      <c r="A12" t="s">
        <v>167</v>
      </c>
      <c r="B12" s="5"/>
      <c r="C12" s="3"/>
      <c r="D12" s="3"/>
      <c r="E12" s="3"/>
      <c r="H12" s="8" t="s">
        <v>236</v>
      </c>
      <c r="I12" s="8"/>
      <c r="J12" s="8" t="s">
        <v>352</v>
      </c>
      <c r="K12" s="8"/>
    </row>
    <row r="13" spans="1:11" x14ac:dyDescent="0.2">
      <c r="A13" t="s">
        <v>159</v>
      </c>
      <c r="B13" s="5"/>
      <c r="C13" s="3"/>
      <c r="D13" s="3"/>
      <c r="E13" s="3"/>
      <c r="H13" s="8"/>
      <c r="I13" s="8"/>
      <c r="J13" s="8" t="str">
        <f>IFERROR(COUNTIFS('C'!A:A,H13)&amp;" opponents | "&amp;ROUND(AVERAGEIFS('C'!BV:BV,'C'!A:A,H13),0), "")</f>
        <v/>
      </c>
      <c r="K13" s="8"/>
    </row>
    <row r="14" spans="1:11" x14ac:dyDescent="0.2">
      <c r="A14" t="s">
        <v>195</v>
      </c>
      <c r="B14" s="5"/>
      <c r="C14" s="3"/>
      <c r="D14" s="3"/>
      <c r="E14" s="3"/>
    </row>
    <row r="15" spans="1:11" x14ac:dyDescent="0.2">
      <c r="A15" t="s">
        <v>149</v>
      </c>
      <c r="B15" s="5"/>
      <c r="C15" s="3"/>
      <c r="D15" s="3"/>
      <c r="E15" s="3"/>
    </row>
    <row r="16" spans="1:11" x14ac:dyDescent="0.2">
      <c r="A16" t="s">
        <v>144</v>
      </c>
      <c r="B16" s="5"/>
      <c r="C16" s="3"/>
      <c r="D16" s="3"/>
      <c r="E16" s="3"/>
    </row>
    <row r="17" spans="1:5" x14ac:dyDescent="0.2">
      <c r="A17" t="s">
        <v>223</v>
      </c>
      <c r="B17" s="5"/>
      <c r="C17" s="3"/>
      <c r="D17" s="3"/>
      <c r="E17" s="3"/>
    </row>
    <row r="18" spans="1:5" x14ac:dyDescent="0.2">
      <c r="A18" t="s">
        <v>186</v>
      </c>
      <c r="B18" s="5"/>
      <c r="C18" s="3"/>
      <c r="D18" s="3"/>
      <c r="E18" s="3"/>
    </row>
    <row r="19" spans="1:5" x14ac:dyDescent="0.2">
      <c r="A19" t="s">
        <v>185</v>
      </c>
      <c r="B19" s="5"/>
      <c r="C19" s="3"/>
      <c r="D19" s="3"/>
      <c r="E19" s="3"/>
    </row>
    <row r="20" spans="1:5" x14ac:dyDescent="0.2">
      <c r="A20" t="s">
        <v>194</v>
      </c>
      <c r="B20" s="5"/>
      <c r="C20" s="3"/>
      <c r="D20" s="3"/>
      <c r="E20" s="3"/>
    </row>
    <row r="21" spans="1:5" x14ac:dyDescent="0.2">
      <c r="A21" t="s">
        <v>176</v>
      </c>
      <c r="B21" s="5"/>
      <c r="C21" s="3"/>
      <c r="D21" s="3"/>
      <c r="E21" s="3"/>
    </row>
    <row r="22" spans="1:5" x14ac:dyDescent="0.2">
      <c r="A22" t="s">
        <v>140</v>
      </c>
      <c r="B22" s="5"/>
      <c r="C22" s="3"/>
      <c r="D22" s="3"/>
      <c r="E22" s="3"/>
    </row>
    <row r="23" spans="1:5" x14ac:dyDescent="0.2">
      <c r="A23" t="s">
        <v>211</v>
      </c>
      <c r="B23" s="5"/>
      <c r="C23" s="3"/>
      <c r="D23" s="3"/>
      <c r="E23" s="3"/>
    </row>
    <row r="24" spans="1:5" x14ac:dyDescent="0.2">
      <c r="A24" t="s">
        <v>188</v>
      </c>
      <c r="B24" s="5"/>
      <c r="C24" s="3"/>
      <c r="D24" s="3"/>
      <c r="E24" s="3"/>
    </row>
    <row r="25" spans="1:5" x14ac:dyDescent="0.2">
      <c r="A25" t="s">
        <v>163</v>
      </c>
      <c r="B25" s="5"/>
      <c r="C25" s="3"/>
      <c r="D25" s="3"/>
      <c r="E25" s="3"/>
    </row>
    <row r="26" spans="1:5" x14ac:dyDescent="0.2">
      <c r="A26" t="s">
        <v>161</v>
      </c>
      <c r="B26" s="5"/>
      <c r="C26" s="3"/>
      <c r="D26" s="3"/>
      <c r="E26" s="3"/>
    </row>
    <row r="27" spans="1:5" x14ac:dyDescent="0.2">
      <c r="A27" t="s">
        <v>150</v>
      </c>
      <c r="B27" s="5"/>
      <c r="C27" s="3"/>
      <c r="D27" s="3"/>
      <c r="E27" s="3"/>
    </row>
    <row r="28" spans="1:5" x14ac:dyDescent="0.2">
      <c r="A28" t="s">
        <v>193</v>
      </c>
      <c r="B28" s="5"/>
      <c r="C28" s="3"/>
      <c r="D28" s="3"/>
      <c r="E28" s="3"/>
    </row>
    <row r="29" spans="1:5" x14ac:dyDescent="0.2">
      <c r="A29" t="s">
        <v>168</v>
      </c>
      <c r="B29" s="5"/>
      <c r="C29" s="3"/>
      <c r="D29" s="3"/>
      <c r="E29" s="3"/>
    </row>
    <row r="30" spans="1:5" x14ac:dyDescent="0.2">
      <c r="A30" t="s">
        <v>214</v>
      </c>
      <c r="B30" s="5"/>
      <c r="C30" s="3"/>
      <c r="D30" s="3"/>
      <c r="E30" s="3"/>
    </row>
    <row r="31" spans="1:5" x14ac:dyDescent="0.2">
      <c r="A31" t="s">
        <v>187</v>
      </c>
      <c r="B31" s="5"/>
      <c r="C31" s="3"/>
      <c r="D31" s="3"/>
      <c r="E31" s="3"/>
    </row>
    <row r="32" spans="1:5" x14ac:dyDescent="0.2">
      <c r="A32" t="s">
        <v>165</v>
      </c>
      <c r="B32" s="5"/>
      <c r="C32" s="3"/>
      <c r="D32" s="3"/>
      <c r="E32" s="3"/>
    </row>
    <row r="33" spans="1:5" x14ac:dyDescent="0.2">
      <c r="A33" t="s">
        <v>182</v>
      </c>
      <c r="B33" s="5"/>
      <c r="C33" s="3"/>
      <c r="D33" s="3"/>
      <c r="E33" s="3"/>
    </row>
    <row r="34" spans="1:5" x14ac:dyDescent="0.2">
      <c r="A34" t="s">
        <v>207</v>
      </c>
      <c r="B34" s="5"/>
      <c r="C34" s="3"/>
      <c r="D34" s="3"/>
      <c r="E34" s="3"/>
    </row>
    <row r="35" spans="1:5" x14ac:dyDescent="0.2">
      <c r="A35" t="s">
        <v>189</v>
      </c>
      <c r="B35" s="5"/>
      <c r="C35" s="3"/>
      <c r="D35" s="3"/>
      <c r="E35" s="3"/>
    </row>
    <row r="36" spans="1:5" x14ac:dyDescent="0.2">
      <c r="A36" t="s">
        <v>169</v>
      </c>
      <c r="B36" s="5"/>
      <c r="C36" s="3"/>
      <c r="D36" s="3"/>
      <c r="E36" s="3"/>
    </row>
    <row r="37" spans="1:5" x14ac:dyDescent="0.2">
      <c r="A37" t="s">
        <v>201</v>
      </c>
      <c r="B37" s="5"/>
      <c r="C37" s="3"/>
      <c r="D37" s="3"/>
      <c r="E37" s="3"/>
    </row>
    <row r="38" spans="1:5" x14ac:dyDescent="0.2">
      <c r="A38" t="s">
        <v>164</v>
      </c>
      <c r="B38" s="5"/>
      <c r="C38" s="3"/>
      <c r="D38" s="3"/>
      <c r="E38" s="3"/>
    </row>
    <row r="39" spans="1:5" x14ac:dyDescent="0.2">
      <c r="A39" t="s">
        <v>213</v>
      </c>
      <c r="B39" s="5"/>
      <c r="C39" s="3"/>
      <c r="D39" s="3"/>
      <c r="E39" s="3"/>
    </row>
    <row r="40" spans="1:5" x14ac:dyDescent="0.2">
      <c r="A40" t="s">
        <v>181</v>
      </c>
      <c r="B40" s="5"/>
      <c r="C40" s="3"/>
      <c r="D40" s="3"/>
      <c r="E40" s="3"/>
    </row>
    <row r="41" spans="1:5" x14ac:dyDescent="0.2">
      <c r="A41" t="s">
        <v>228</v>
      </c>
      <c r="B41" s="5"/>
      <c r="C41" s="3"/>
      <c r="D41" s="3"/>
      <c r="E41" s="3"/>
    </row>
    <row r="42" spans="1:5" x14ac:dyDescent="0.2">
      <c r="A42" t="s">
        <v>197</v>
      </c>
      <c r="B42" s="5"/>
      <c r="C42" s="3"/>
      <c r="D42" s="3"/>
      <c r="E42" s="3"/>
    </row>
    <row r="43" spans="1:5" x14ac:dyDescent="0.2">
      <c r="A43" t="s">
        <v>184</v>
      </c>
      <c r="B43" s="5"/>
      <c r="C43" s="3"/>
      <c r="D43" s="3"/>
      <c r="E43" s="3"/>
    </row>
    <row r="44" spans="1:5" x14ac:dyDescent="0.2">
      <c r="A44" t="s">
        <v>216</v>
      </c>
      <c r="B44" s="5"/>
      <c r="C44" s="3"/>
      <c r="D44" s="3"/>
      <c r="E44" s="3"/>
    </row>
    <row r="45" spans="1:5" x14ac:dyDescent="0.2">
      <c r="A45" t="s">
        <v>208</v>
      </c>
      <c r="B45" s="5"/>
      <c r="C45" s="3"/>
      <c r="D45" s="3"/>
      <c r="E45" s="3"/>
    </row>
    <row r="46" spans="1:5" x14ac:dyDescent="0.2">
      <c r="A46" t="s">
        <v>225</v>
      </c>
      <c r="B46" s="5"/>
      <c r="C46" s="3"/>
      <c r="D46" s="3"/>
      <c r="E46" s="3"/>
    </row>
    <row r="47" spans="1:5" x14ac:dyDescent="0.2">
      <c r="A47" t="s">
        <v>145</v>
      </c>
      <c r="B47" s="5"/>
      <c r="C47" s="3"/>
      <c r="D47" s="3"/>
      <c r="E47" s="3"/>
    </row>
    <row r="48" spans="1:5" x14ac:dyDescent="0.2">
      <c r="A48" t="s">
        <v>155</v>
      </c>
      <c r="B48" s="5"/>
      <c r="C48" s="3"/>
      <c r="D48" s="3"/>
      <c r="E48" s="3"/>
    </row>
    <row r="49" spans="1:5" x14ac:dyDescent="0.2">
      <c r="A49" t="s">
        <v>179</v>
      </c>
      <c r="B49" s="5"/>
      <c r="C49" s="3"/>
      <c r="D49" s="3"/>
      <c r="E49" s="3"/>
    </row>
    <row r="50" spans="1:5" x14ac:dyDescent="0.2">
      <c r="A50" t="s">
        <v>205</v>
      </c>
      <c r="B50" s="5"/>
      <c r="C50" s="3"/>
      <c r="D50" s="3"/>
      <c r="E50" s="3"/>
    </row>
    <row r="51" spans="1:5" x14ac:dyDescent="0.2">
      <c r="A51" t="s">
        <v>154</v>
      </c>
      <c r="B51" s="5"/>
      <c r="C51" s="3"/>
      <c r="D51" s="3"/>
      <c r="E51" s="3"/>
    </row>
    <row r="52" spans="1:5" x14ac:dyDescent="0.2">
      <c r="A52" t="s">
        <v>151</v>
      </c>
      <c r="B52" s="5"/>
      <c r="C52" s="3"/>
      <c r="D52" s="3"/>
      <c r="E52" s="3"/>
    </row>
    <row r="53" spans="1:5" x14ac:dyDescent="0.2">
      <c r="A53" t="s">
        <v>232</v>
      </c>
      <c r="B53" s="5"/>
      <c r="C53" s="3"/>
      <c r="D53" s="3"/>
      <c r="E53" s="3"/>
    </row>
    <row r="54" spans="1:5" x14ac:dyDescent="0.2">
      <c r="A54" t="s">
        <v>138</v>
      </c>
      <c r="B54" s="5"/>
      <c r="C54" s="3"/>
      <c r="D54" s="3"/>
      <c r="E54" s="3"/>
    </row>
    <row r="55" spans="1:5" x14ac:dyDescent="0.2">
      <c r="A55" t="s">
        <v>224</v>
      </c>
      <c r="B55" s="5"/>
      <c r="C55" s="3"/>
      <c r="D55" s="3"/>
      <c r="E55" s="3"/>
    </row>
    <row r="56" spans="1:5" x14ac:dyDescent="0.2">
      <c r="A56" t="s">
        <v>198</v>
      </c>
      <c r="B56" s="5"/>
      <c r="C56" s="3"/>
      <c r="D56" s="3"/>
      <c r="E56" s="3"/>
    </row>
    <row r="57" spans="1:5" x14ac:dyDescent="0.2">
      <c r="A57" t="s">
        <v>183</v>
      </c>
      <c r="B57" s="5"/>
      <c r="C57" s="3"/>
      <c r="D57" s="3"/>
      <c r="E57" s="3"/>
    </row>
    <row r="58" spans="1:5" x14ac:dyDescent="0.2">
      <c r="A58" t="s">
        <v>212</v>
      </c>
      <c r="B58" s="5"/>
      <c r="C58" s="3"/>
      <c r="D58" s="3"/>
      <c r="E58" s="3"/>
    </row>
    <row r="59" spans="1:5" x14ac:dyDescent="0.2">
      <c r="A59" t="s">
        <v>180</v>
      </c>
      <c r="B59" s="5"/>
      <c r="C59" s="3"/>
      <c r="D59" s="3"/>
      <c r="E59" s="3"/>
    </row>
    <row r="60" spans="1:5" x14ac:dyDescent="0.2">
      <c r="A60" t="s">
        <v>177</v>
      </c>
      <c r="B60" s="5"/>
      <c r="C60" s="3"/>
      <c r="D60" s="3"/>
      <c r="E60" s="3"/>
    </row>
    <row r="61" spans="1:5" x14ac:dyDescent="0.2">
      <c r="A61" t="s">
        <v>199</v>
      </c>
      <c r="B61" s="5"/>
      <c r="C61" s="3"/>
      <c r="D61" s="3"/>
      <c r="E61" s="3"/>
    </row>
    <row r="62" spans="1:5" x14ac:dyDescent="0.2">
      <c r="A62" t="s">
        <v>148</v>
      </c>
      <c r="B62" s="5"/>
      <c r="C62" s="3"/>
      <c r="D62" s="3"/>
      <c r="E62" s="3"/>
    </row>
    <row r="63" spans="1:5" x14ac:dyDescent="0.2">
      <c r="A63" t="s">
        <v>175</v>
      </c>
      <c r="B63" s="5"/>
      <c r="C63" s="3"/>
      <c r="D63" s="3"/>
      <c r="E63" s="3"/>
    </row>
    <row r="64" spans="1:5" x14ac:dyDescent="0.2">
      <c r="A64" t="s">
        <v>196</v>
      </c>
      <c r="B64" s="5"/>
      <c r="C64" s="3"/>
      <c r="D64" s="3"/>
      <c r="E64" s="3"/>
    </row>
    <row r="65" spans="1:5" x14ac:dyDescent="0.2">
      <c r="A65" t="s">
        <v>170</v>
      </c>
      <c r="B65" s="5"/>
      <c r="C65" s="3"/>
      <c r="D65" s="3"/>
      <c r="E65" s="3"/>
    </row>
    <row r="66" spans="1:5" x14ac:dyDescent="0.2">
      <c r="A66" t="s">
        <v>152</v>
      </c>
      <c r="B66" s="5"/>
      <c r="C66" s="3"/>
      <c r="D66" s="3"/>
      <c r="E66" s="3"/>
    </row>
    <row r="67" spans="1:5" x14ac:dyDescent="0.2">
      <c r="A67" t="s">
        <v>231</v>
      </c>
      <c r="B67" s="5"/>
      <c r="C67" s="3"/>
      <c r="D67" s="3"/>
      <c r="E67" s="3"/>
    </row>
    <row r="68" spans="1:5" x14ac:dyDescent="0.2">
      <c r="A68" t="s">
        <v>202</v>
      </c>
      <c r="B68" s="5"/>
      <c r="C68" s="3"/>
      <c r="D68" s="3"/>
      <c r="E68" s="3"/>
    </row>
    <row r="69" spans="1:5" x14ac:dyDescent="0.2">
      <c r="A69" t="s">
        <v>192</v>
      </c>
      <c r="B69" s="5"/>
      <c r="C69" s="3"/>
      <c r="D69" s="3"/>
      <c r="E69" s="3"/>
    </row>
    <row r="70" spans="1:5" x14ac:dyDescent="0.2">
      <c r="A70" t="s">
        <v>204</v>
      </c>
      <c r="B70" s="5"/>
      <c r="C70" s="3"/>
      <c r="D70" s="3"/>
      <c r="E70" s="3"/>
    </row>
    <row r="71" spans="1:5" x14ac:dyDescent="0.2">
      <c r="A71" t="s">
        <v>160</v>
      </c>
      <c r="B71" s="5"/>
      <c r="C71" s="3"/>
      <c r="D71" s="3"/>
      <c r="E71" s="3"/>
    </row>
    <row r="72" spans="1:5" x14ac:dyDescent="0.2">
      <c r="A72" t="s">
        <v>139</v>
      </c>
      <c r="B72" s="5"/>
      <c r="C72" s="3"/>
      <c r="D72" s="3"/>
      <c r="E72" s="3"/>
    </row>
    <row r="73" spans="1:5" x14ac:dyDescent="0.2">
      <c r="A73" t="s">
        <v>153</v>
      </c>
      <c r="B73" s="5"/>
      <c r="C73" s="3"/>
      <c r="D73" s="3"/>
      <c r="E73" s="3"/>
    </row>
    <row r="74" spans="1:5" x14ac:dyDescent="0.2">
      <c r="A74" t="s">
        <v>227</v>
      </c>
      <c r="B74" s="5"/>
      <c r="C74" s="3"/>
      <c r="D74" s="3"/>
      <c r="E74" s="3"/>
    </row>
    <row r="75" spans="1:5" x14ac:dyDescent="0.2">
      <c r="A75" t="s">
        <v>173</v>
      </c>
      <c r="B75" s="5"/>
      <c r="C75" s="3"/>
      <c r="D75" s="3"/>
      <c r="E75" s="3"/>
    </row>
    <row r="76" spans="1:5" x14ac:dyDescent="0.2">
      <c r="A76" t="s">
        <v>210</v>
      </c>
      <c r="B76" s="5"/>
      <c r="C76" s="3"/>
      <c r="D76" s="3"/>
      <c r="E76" s="3"/>
    </row>
    <row r="77" spans="1:5" x14ac:dyDescent="0.2">
      <c r="A77" t="s">
        <v>191</v>
      </c>
      <c r="B77" s="5"/>
      <c r="C77" s="3"/>
      <c r="D77" s="3"/>
      <c r="E77" s="3"/>
    </row>
    <row r="78" spans="1:5" x14ac:dyDescent="0.2">
      <c r="A78" t="s">
        <v>222</v>
      </c>
      <c r="B78" s="5"/>
      <c r="C78" s="3"/>
      <c r="D78" s="3"/>
      <c r="E78" s="3"/>
    </row>
    <row r="79" spans="1:5" x14ac:dyDescent="0.2">
      <c r="A79" t="s">
        <v>166</v>
      </c>
      <c r="B79" s="5"/>
      <c r="C79" s="3"/>
      <c r="D79" s="3"/>
      <c r="E79" s="3"/>
    </row>
    <row r="80" spans="1:5" x14ac:dyDescent="0.2">
      <c r="A80" t="s">
        <v>147</v>
      </c>
      <c r="B80" s="5"/>
      <c r="C80" s="3"/>
      <c r="D80" s="3"/>
      <c r="E80" s="3"/>
    </row>
    <row r="81" spans="1:5" x14ac:dyDescent="0.2">
      <c r="A81" t="s">
        <v>143</v>
      </c>
      <c r="B81" s="5"/>
      <c r="C81" s="3"/>
      <c r="D81" s="3"/>
      <c r="E81" s="3"/>
    </row>
    <row r="82" spans="1:5" x14ac:dyDescent="0.2">
      <c r="A82" t="s">
        <v>206</v>
      </c>
      <c r="B82" s="5"/>
      <c r="C82" s="3"/>
      <c r="D82" s="3"/>
      <c r="E82" s="3"/>
    </row>
    <row r="83" spans="1:5" x14ac:dyDescent="0.2">
      <c r="A83" t="s">
        <v>178</v>
      </c>
      <c r="B83" s="5"/>
      <c r="C83" s="3"/>
      <c r="D83" s="3"/>
      <c r="E83" s="3"/>
    </row>
    <row r="84" spans="1:5" x14ac:dyDescent="0.2">
      <c r="A84" t="s">
        <v>226</v>
      </c>
      <c r="B84" s="5"/>
      <c r="C84" s="3"/>
      <c r="D84" s="3"/>
      <c r="E84" s="3"/>
    </row>
    <row r="85" spans="1:5" x14ac:dyDescent="0.2">
      <c r="A85" t="s">
        <v>217</v>
      </c>
      <c r="B85" s="5"/>
      <c r="C85" s="3"/>
      <c r="D85" s="3"/>
      <c r="E85" s="3"/>
    </row>
    <row r="86" spans="1:5" x14ac:dyDescent="0.2">
      <c r="A86" t="s">
        <v>174</v>
      </c>
      <c r="B86" s="5"/>
      <c r="C86" s="3"/>
      <c r="D86" s="3"/>
      <c r="E86" s="3"/>
    </row>
    <row r="87" spans="1:5" x14ac:dyDescent="0.2">
      <c r="A87" t="s">
        <v>229</v>
      </c>
      <c r="B87" s="5"/>
      <c r="C87" s="3"/>
      <c r="D87" s="3"/>
      <c r="E87" s="3"/>
    </row>
    <row r="88" spans="1:5" x14ac:dyDescent="0.2">
      <c r="A88" t="s">
        <v>230</v>
      </c>
      <c r="B88" s="5"/>
      <c r="C88" s="3"/>
      <c r="D88" s="3"/>
      <c r="E88" s="3"/>
    </row>
    <row r="89" spans="1:5" x14ac:dyDescent="0.2">
      <c r="A89" t="s">
        <v>209</v>
      </c>
      <c r="B89" s="5"/>
      <c r="C89" s="3"/>
      <c r="D89" s="3"/>
      <c r="E89" s="3"/>
    </row>
  </sheetData>
  <sortState ref="A3:F89">
    <sortCondition descending="1" ref="B3:B89"/>
    <sortCondition descending="1" ref="C3:C89"/>
  </sortState>
  <mergeCells count="6">
    <mergeCell ref="H12:I12"/>
    <mergeCell ref="H13:I13"/>
    <mergeCell ref="A1:F1"/>
    <mergeCell ref="H1:K1"/>
    <mergeCell ref="J12:K12"/>
    <mergeCell ref="J13:K13"/>
  </mergeCells>
  <conditionalFormatting sqref="H1:K1">
    <cfRule type="expression" dxfId="64" priority="7">
      <formula xml:space="preserve"> RIGHT(H1, 4) = "Win "</formula>
    </cfRule>
    <cfRule type="expression" dxfId="63" priority="6">
      <formula xml:space="preserve"> RIGHT(H1, 4) = "Loss"</formula>
    </cfRule>
    <cfRule type="expression" dxfId="62" priority="5">
      <formula xml:space="preserve"> RIGHT(H1, 4) = "Tie "</formula>
    </cfRule>
  </conditionalFormatting>
  <conditionalFormatting sqref="J2">
    <cfRule type="expression" dxfId="61" priority="4">
      <formula xml:space="preserve"> RIGHT(J2, 3) &lt; RIGHT(H2, 3)</formula>
    </cfRule>
  </conditionalFormatting>
  <conditionalFormatting sqref="H2">
    <cfRule type="expression" dxfId="60" priority="2">
      <formula xml:space="preserve"> RIGHT(J2, 3) &gt; RIGHT(H2, 3)</formula>
    </cfRule>
    <cfRule type="expression" dxfId="59" priority="1">
      <formula xml:space="preserve"> RIGHT(H2, 3) = "ent"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artOver">
                <anchor moveWithCells="1" sizeWithCells="1">
                  <from>
                    <xdr:col>7</xdr:col>
                    <xdr:colOff>28575</xdr:colOff>
                    <xdr:row>14</xdr:row>
                    <xdr:rowOff>142875</xdr:rowOff>
                  </from>
                  <to>
                    <xdr:col>8</xdr:col>
                    <xdr:colOff>581025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eeVpee">
                <anchor moveWithCells="1" sizeWithCells="1">
                  <from>
                    <xdr:col>7</xdr:col>
                    <xdr:colOff>38100</xdr:colOff>
                    <xdr:row>18</xdr:row>
                    <xdr:rowOff>47625</xdr:rowOff>
                  </from>
                  <to>
                    <xdr:col>8</xdr:col>
                    <xdr:colOff>571500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litzTourney">
                <anchor moveWithCells="1" sizeWithCells="1">
                  <from>
                    <xdr:col>9</xdr:col>
                    <xdr:colOff>76200</xdr:colOff>
                    <xdr:row>14</xdr:row>
                    <xdr:rowOff>142875</xdr:rowOff>
                  </from>
                  <to>
                    <xdr:col>11</xdr:col>
                    <xdr:colOff>104775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gChallenge">
                <anchor moveWithCells="1" sizeWithCells="1">
                  <from>
                    <xdr:col>9</xdr:col>
                    <xdr:colOff>85725</xdr:colOff>
                    <xdr:row>18</xdr:row>
                    <xdr:rowOff>57150</xdr:rowOff>
                  </from>
                  <to>
                    <xdr:col>11</xdr:col>
                    <xdr:colOff>114300</xdr:colOff>
                    <xdr:row>21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0A245-528A-49DE-A803-A304F23AEC5C}">
  <sheetPr codeName="Sheet2"/>
  <dimension ref="A1:EG26"/>
  <sheetViews>
    <sheetView topLeftCell="AL1" workbookViewId="0">
      <selection activeCell="AT20" sqref="AT20"/>
    </sheetView>
  </sheetViews>
  <sheetFormatPr defaultRowHeight="12" x14ac:dyDescent="0.2"/>
  <cols>
    <col min="1" max="1" width="10.1640625" bestFit="1" customWidth="1"/>
    <col min="2" max="2" width="14" bestFit="1" customWidth="1"/>
    <col min="3" max="3" width="14.5" bestFit="1" customWidth="1"/>
    <col min="4" max="4" width="11.83203125" bestFit="1" customWidth="1"/>
    <col min="5" max="5" width="15.1640625" bestFit="1" customWidth="1"/>
    <col min="6" max="6" width="16.83203125" bestFit="1" customWidth="1"/>
    <col min="7" max="7" width="20.33203125" bestFit="1" customWidth="1"/>
    <col min="8" max="8" width="28" bestFit="1" customWidth="1"/>
    <col min="9" max="9" width="16.5" bestFit="1" customWidth="1"/>
    <col min="10" max="10" width="14.1640625" bestFit="1" customWidth="1"/>
    <col min="11" max="11" width="16.6640625" bestFit="1" customWidth="1"/>
    <col min="12" max="12" width="26.83203125" bestFit="1" customWidth="1"/>
    <col min="13" max="13" width="17.83203125" bestFit="1" customWidth="1"/>
    <col min="14" max="14" width="19.1640625" bestFit="1" customWidth="1"/>
    <col min="15" max="15" width="21.6640625" bestFit="1" customWidth="1"/>
    <col min="16" max="16" width="24.1640625" bestFit="1" customWidth="1"/>
    <col min="17" max="17" width="24.83203125" bestFit="1" customWidth="1"/>
    <col min="18" max="18" width="24.1640625" bestFit="1" customWidth="1"/>
    <col min="19" max="19" width="28" bestFit="1" customWidth="1"/>
    <col min="20" max="20" width="24.83203125" bestFit="1" customWidth="1"/>
    <col min="21" max="21" width="24.1640625" bestFit="1" customWidth="1"/>
    <col min="22" max="22" width="28" bestFit="1" customWidth="1"/>
    <col min="23" max="23" width="24.83203125" bestFit="1" customWidth="1"/>
    <col min="24" max="24" width="24.1640625" bestFit="1" customWidth="1"/>
    <col min="25" max="25" width="28" bestFit="1" customWidth="1"/>
    <col min="26" max="26" width="24.83203125" bestFit="1" customWidth="1"/>
    <col min="27" max="27" width="24.1640625" bestFit="1" customWidth="1"/>
    <col min="28" max="28" width="28" bestFit="1" customWidth="1"/>
    <col min="29" max="29" width="24.83203125" bestFit="1" customWidth="1"/>
    <col min="30" max="30" width="24.1640625" bestFit="1" customWidth="1"/>
    <col min="31" max="31" width="28" bestFit="1" customWidth="1"/>
    <col min="32" max="32" width="24.83203125" bestFit="1" customWidth="1"/>
    <col min="33" max="33" width="24.1640625" bestFit="1" customWidth="1"/>
    <col min="34" max="34" width="28" bestFit="1" customWidth="1"/>
    <col min="35" max="35" width="24.83203125" bestFit="1" customWidth="1"/>
    <col min="36" max="36" width="24.1640625" bestFit="1" customWidth="1"/>
    <col min="37" max="37" width="28" bestFit="1" customWidth="1"/>
    <col min="38" max="38" width="24.83203125" bestFit="1" customWidth="1"/>
    <col min="39" max="39" width="24.1640625" bestFit="1" customWidth="1"/>
    <col min="40" max="40" width="28" bestFit="1" customWidth="1"/>
    <col min="41" max="41" width="14.1640625" bestFit="1" customWidth="1"/>
    <col min="42" max="42" width="16.6640625" bestFit="1" customWidth="1"/>
    <col min="43" max="43" width="26.83203125" bestFit="1" customWidth="1"/>
    <col min="44" max="44" width="17.83203125" bestFit="1" customWidth="1"/>
    <col min="45" max="45" width="19.1640625" bestFit="1" customWidth="1"/>
    <col min="46" max="46" width="21.6640625" bestFit="1" customWidth="1"/>
    <col min="47" max="47" width="24.1640625" bestFit="1" customWidth="1"/>
    <col min="48" max="48" width="24.83203125" bestFit="1" customWidth="1"/>
    <col min="49" max="49" width="24.1640625" bestFit="1" customWidth="1"/>
    <col min="50" max="50" width="28" bestFit="1" customWidth="1"/>
    <col min="51" max="51" width="24.83203125" bestFit="1" customWidth="1"/>
    <col min="52" max="52" width="24.1640625" bestFit="1" customWidth="1"/>
    <col min="53" max="53" width="28" bestFit="1" customWidth="1"/>
    <col min="54" max="54" width="24.83203125" bestFit="1" customWidth="1"/>
    <col min="55" max="55" width="24.1640625" bestFit="1" customWidth="1"/>
    <col min="56" max="56" width="28" bestFit="1" customWidth="1"/>
    <col min="57" max="57" width="24.83203125" bestFit="1" customWidth="1"/>
    <col min="58" max="58" width="24.1640625" bestFit="1" customWidth="1"/>
    <col min="59" max="59" width="28" bestFit="1" customWidth="1"/>
    <col min="60" max="60" width="24.83203125" bestFit="1" customWidth="1"/>
    <col min="61" max="61" width="24.1640625" bestFit="1" customWidth="1"/>
    <col min="62" max="62" width="28" bestFit="1" customWidth="1"/>
    <col min="63" max="63" width="24.83203125" bestFit="1" customWidth="1"/>
    <col min="64" max="64" width="24.1640625" bestFit="1" customWidth="1"/>
    <col min="65" max="65" width="28" bestFit="1" customWidth="1"/>
    <col min="66" max="66" width="24.83203125" bestFit="1" customWidth="1"/>
    <col min="67" max="67" width="24.1640625" bestFit="1" customWidth="1"/>
    <col min="68" max="68" width="28" bestFit="1" customWidth="1"/>
    <col min="69" max="69" width="24.83203125" bestFit="1" customWidth="1"/>
    <col min="70" max="70" width="24.1640625" bestFit="1" customWidth="1"/>
    <col min="71" max="71" width="28" bestFit="1" customWidth="1"/>
    <col min="72" max="72" width="18.5" bestFit="1" customWidth="1"/>
    <col min="73" max="73" width="29.33203125" bestFit="1" customWidth="1"/>
    <col min="74" max="74" width="31.1640625" bestFit="1" customWidth="1"/>
    <col min="75" max="75" width="22.1640625" bestFit="1" customWidth="1"/>
    <col min="76" max="76" width="23.5" bestFit="1" customWidth="1"/>
    <col min="77" max="77" width="26.5" bestFit="1" customWidth="1"/>
    <col min="78" max="78" width="28.5" bestFit="1" customWidth="1"/>
    <col min="79" max="79" width="29.1640625" bestFit="1" customWidth="1"/>
    <col min="80" max="80" width="28.5" bestFit="1" customWidth="1"/>
    <col min="81" max="81" width="32.5" bestFit="1" customWidth="1"/>
    <col min="82" max="82" width="29.1640625" bestFit="1" customWidth="1"/>
    <col min="83" max="83" width="28.5" bestFit="1" customWidth="1"/>
    <col min="84" max="84" width="32.5" bestFit="1" customWidth="1"/>
    <col min="85" max="85" width="29.1640625" bestFit="1" customWidth="1"/>
    <col min="86" max="86" width="28.5" bestFit="1" customWidth="1"/>
    <col min="87" max="87" width="32.5" bestFit="1" customWidth="1"/>
    <col min="88" max="88" width="29.1640625" bestFit="1" customWidth="1"/>
    <col min="89" max="89" width="28.5" bestFit="1" customWidth="1"/>
    <col min="90" max="90" width="32.5" bestFit="1" customWidth="1"/>
    <col min="91" max="91" width="29.1640625" bestFit="1" customWidth="1"/>
    <col min="92" max="92" width="28.5" bestFit="1" customWidth="1"/>
    <col min="93" max="93" width="32.5" bestFit="1" customWidth="1"/>
    <col min="94" max="94" width="29.1640625" bestFit="1" customWidth="1"/>
    <col min="95" max="95" width="28.5" bestFit="1" customWidth="1"/>
    <col min="96" max="96" width="32.5" bestFit="1" customWidth="1"/>
    <col min="97" max="97" width="29.1640625" bestFit="1" customWidth="1"/>
    <col min="98" max="98" width="28.5" bestFit="1" customWidth="1"/>
    <col min="99" max="99" width="32.5" bestFit="1" customWidth="1"/>
    <col min="100" max="100" width="29.1640625" bestFit="1" customWidth="1"/>
    <col min="101" max="101" width="28.5" bestFit="1" customWidth="1"/>
    <col min="102" max="102" width="32.5" bestFit="1" customWidth="1"/>
    <col min="103" max="103" width="18.5" bestFit="1" customWidth="1"/>
    <col min="104" max="104" width="21" bestFit="1" customWidth="1"/>
    <col min="105" max="105" width="31.1640625" bestFit="1" customWidth="1"/>
    <col min="106" max="106" width="22.1640625" bestFit="1" customWidth="1"/>
    <col min="107" max="107" width="23.5" bestFit="1" customWidth="1"/>
    <col min="108" max="108" width="26" bestFit="1" customWidth="1"/>
    <col min="109" max="109" width="28.5" bestFit="1" customWidth="1"/>
    <col min="110" max="110" width="29.1640625" bestFit="1" customWidth="1"/>
    <col min="111" max="111" width="28.5" bestFit="1" customWidth="1"/>
    <col min="112" max="112" width="32.5" bestFit="1" customWidth="1"/>
    <col min="113" max="113" width="29.1640625" bestFit="1" customWidth="1"/>
    <col min="114" max="114" width="28.5" bestFit="1" customWidth="1"/>
    <col min="115" max="115" width="32.5" bestFit="1" customWidth="1"/>
    <col min="116" max="116" width="29.1640625" bestFit="1" customWidth="1"/>
    <col min="117" max="117" width="28.5" bestFit="1" customWidth="1"/>
    <col min="118" max="118" width="32.5" bestFit="1" customWidth="1"/>
    <col min="119" max="119" width="29.1640625" bestFit="1" customWidth="1"/>
    <col min="120" max="120" width="28.5" bestFit="1" customWidth="1"/>
    <col min="121" max="121" width="32.5" bestFit="1" customWidth="1"/>
    <col min="122" max="122" width="29.1640625" bestFit="1" customWidth="1"/>
    <col min="123" max="123" width="28.5" bestFit="1" customWidth="1"/>
    <col min="124" max="124" width="32.5" bestFit="1" customWidth="1"/>
    <col min="125" max="125" width="29.1640625" bestFit="1" customWidth="1"/>
    <col min="126" max="126" width="28.5" bestFit="1" customWidth="1"/>
    <col min="127" max="127" width="32.5" bestFit="1" customWidth="1"/>
    <col min="128" max="128" width="29.1640625" bestFit="1" customWidth="1"/>
    <col min="129" max="129" width="28.5" bestFit="1" customWidth="1"/>
    <col min="130" max="130" width="32.5" bestFit="1" customWidth="1"/>
    <col min="131" max="131" width="29.1640625" bestFit="1" customWidth="1"/>
    <col min="132" max="132" width="28.5" bestFit="1" customWidth="1"/>
    <col min="133" max="133" width="32.5" bestFit="1" customWidth="1"/>
    <col min="134" max="134" width="13.83203125" bestFit="1" customWidth="1"/>
    <col min="135" max="135" width="15" bestFit="1" customWidth="1"/>
    <col min="136" max="136" width="14.33203125" bestFit="1" customWidth="1"/>
    <col min="137" max="137" width="15.33203125" bestFit="1" customWidth="1"/>
  </cols>
  <sheetData>
    <row r="1" spans="1:13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218</v>
      </c>
      <c r="EE1" t="s">
        <v>219</v>
      </c>
      <c r="EF1" t="s">
        <v>220</v>
      </c>
      <c r="EG1" t="s">
        <v>221</v>
      </c>
    </row>
    <row r="2" spans="1:137" x14ac:dyDescent="0.2">
      <c r="A2" s="1" t="s">
        <v>171</v>
      </c>
      <c r="B2" s="2">
        <v>43341.180439814816</v>
      </c>
      <c r="D2">
        <v>54000008</v>
      </c>
      <c r="E2" s="1" t="s">
        <v>291</v>
      </c>
      <c r="F2">
        <v>72000023</v>
      </c>
      <c r="G2" s="1" t="s">
        <v>172</v>
      </c>
      <c r="I2" s="1" t="s">
        <v>133</v>
      </c>
      <c r="J2" s="1" t="s">
        <v>353</v>
      </c>
      <c r="K2" s="1" t="s">
        <v>354</v>
      </c>
      <c r="M2">
        <v>1</v>
      </c>
      <c r="N2" s="1" t="s">
        <v>355</v>
      </c>
      <c r="O2" s="1" t="s">
        <v>356</v>
      </c>
      <c r="P2">
        <v>16000024</v>
      </c>
      <c r="Q2" s="1" t="s">
        <v>197</v>
      </c>
      <c r="R2">
        <v>5</v>
      </c>
      <c r="S2">
        <v>8</v>
      </c>
      <c r="T2" s="1" t="s">
        <v>163</v>
      </c>
      <c r="U2">
        <v>7</v>
      </c>
      <c r="V2">
        <v>11</v>
      </c>
      <c r="W2" s="1" t="s">
        <v>190</v>
      </c>
      <c r="X2">
        <v>11</v>
      </c>
      <c r="Y2">
        <v>13</v>
      </c>
      <c r="Z2" s="1" t="s">
        <v>185</v>
      </c>
      <c r="AA2">
        <v>5</v>
      </c>
      <c r="AB2">
        <v>8</v>
      </c>
      <c r="AC2" s="1" t="s">
        <v>162</v>
      </c>
      <c r="AD2">
        <v>1</v>
      </c>
      <c r="AE2">
        <v>5</v>
      </c>
      <c r="AF2" s="1" t="s">
        <v>209</v>
      </c>
      <c r="AG2">
        <v>5</v>
      </c>
      <c r="AH2">
        <v>8</v>
      </c>
      <c r="AI2" s="1" t="s">
        <v>188</v>
      </c>
      <c r="AJ2">
        <v>8</v>
      </c>
      <c r="AK2">
        <v>11</v>
      </c>
      <c r="AL2" s="1" t="s">
        <v>223</v>
      </c>
      <c r="AM2">
        <v>8</v>
      </c>
      <c r="AN2">
        <v>11</v>
      </c>
      <c r="AO2" s="1" t="s">
        <v>134</v>
      </c>
      <c r="AP2" s="1" t="s">
        <v>135</v>
      </c>
      <c r="AQ2" s="1" t="s">
        <v>146</v>
      </c>
      <c r="AR2">
        <v>1</v>
      </c>
      <c r="AS2" s="1" t="s">
        <v>136</v>
      </c>
      <c r="AT2" s="1" t="s">
        <v>137</v>
      </c>
      <c r="AU2">
        <v>16000171</v>
      </c>
      <c r="AV2" s="1" t="s">
        <v>228</v>
      </c>
      <c r="AW2">
        <v>4</v>
      </c>
      <c r="AX2">
        <v>8</v>
      </c>
      <c r="AY2" s="1" t="s">
        <v>145</v>
      </c>
      <c r="AZ2">
        <v>9</v>
      </c>
      <c r="BA2">
        <v>13</v>
      </c>
      <c r="BB2" s="1" t="s">
        <v>211</v>
      </c>
      <c r="BC2">
        <v>9</v>
      </c>
      <c r="BD2">
        <v>13</v>
      </c>
      <c r="BE2" s="1" t="s">
        <v>143</v>
      </c>
      <c r="BF2">
        <v>10</v>
      </c>
      <c r="BG2">
        <v>13</v>
      </c>
      <c r="BH2" s="1" t="s">
        <v>164</v>
      </c>
      <c r="BI2">
        <v>7</v>
      </c>
      <c r="BJ2">
        <v>11</v>
      </c>
      <c r="BK2" s="1" t="s">
        <v>202</v>
      </c>
      <c r="BL2">
        <v>8</v>
      </c>
      <c r="BM2">
        <v>11</v>
      </c>
      <c r="BN2" s="1" t="s">
        <v>141</v>
      </c>
      <c r="BO2">
        <v>10</v>
      </c>
      <c r="BP2">
        <v>13</v>
      </c>
      <c r="BQ2" s="1" t="s">
        <v>142</v>
      </c>
      <c r="BR2">
        <v>7</v>
      </c>
      <c r="BS2">
        <v>11</v>
      </c>
      <c r="BT2" s="1" t="s">
        <v>357</v>
      </c>
      <c r="BU2" s="1" t="s">
        <v>358</v>
      </c>
      <c r="BW2">
        <v>0</v>
      </c>
      <c r="BX2" s="1" t="s">
        <v>359</v>
      </c>
      <c r="BY2" s="1" t="s">
        <v>360</v>
      </c>
      <c r="BZ2">
        <v>16000113</v>
      </c>
      <c r="CA2" s="1" t="s">
        <v>206</v>
      </c>
      <c r="CB2">
        <v>6</v>
      </c>
      <c r="CC2">
        <v>11</v>
      </c>
      <c r="CD2" s="1" t="s">
        <v>167</v>
      </c>
      <c r="CE2">
        <v>8</v>
      </c>
      <c r="CF2">
        <v>13</v>
      </c>
      <c r="CG2" s="1" t="s">
        <v>224</v>
      </c>
      <c r="CH2">
        <v>2</v>
      </c>
      <c r="CI2">
        <v>8</v>
      </c>
      <c r="CJ2" s="1" t="s">
        <v>156</v>
      </c>
      <c r="CK2">
        <v>6</v>
      </c>
      <c r="CL2">
        <v>11</v>
      </c>
      <c r="CM2" s="1" t="s">
        <v>169</v>
      </c>
      <c r="CN2">
        <v>8</v>
      </c>
      <c r="CO2">
        <v>13</v>
      </c>
      <c r="CP2" s="1" t="s">
        <v>207</v>
      </c>
      <c r="CQ2">
        <v>8</v>
      </c>
      <c r="CR2">
        <v>13</v>
      </c>
      <c r="CS2" s="1" t="s">
        <v>162</v>
      </c>
      <c r="CT2">
        <v>1</v>
      </c>
      <c r="CU2">
        <v>5</v>
      </c>
      <c r="CV2" s="1" t="s">
        <v>138</v>
      </c>
      <c r="CW2">
        <v>3</v>
      </c>
      <c r="CX2">
        <v>8</v>
      </c>
      <c r="CY2" s="1" t="s">
        <v>361</v>
      </c>
      <c r="CZ2" s="1" t="s">
        <v>362</v>
      </c>
      <c r="DA2" s="1" t="s">
        <v>146</v>
      </c>
      <c r="DB2">
        <v>0</v>
      </c>
      <c r="DC2" s="1" t="s">
        <v>363</v>
      </c>
      <c r="DD2" s="1" t="s">
        <v>364</v>
      </c>
      <c r="DE2">
        <v>16000024</v>
      </c>
      <c r="DF2" s="1" t="s">
        <v>186</v>
      </c>
      <c r="DG2">
        <v>6</v>
      </c>
      <c r="DH2">
        <v>11</v>
      </c>
      <c r="DI2" s="1" t="s">
        <v>147</v>
      </c>
      <c r="DJ2">
        <v>1</v>
      </c>
      <c r="DK2">
        <v>5</v>
      </c>
      <c r="DL2" s="1" t="s">
        <v>167</v>
      </c>
      <c r="DM2">
        <v>9</v>
      </c>
      <c r="DN2">
        <v>13</v>
      </c>
      <c r="DO2" s="1" t="s">
        <v>157</v>
      </c>
      <c r="DP2">
        <v>6</v>
      </c>
      <c r="DQ2">
        <v>11</v>
      </c>
      <c r="DR2" s="1" t="s">
        <v>165</v>
      </c>
      <c r="DS2">
        <v>1</v>
      </c>
      <c r="DT2">
        <v>5</v>
      </c>
      <c r="DU2" s="1" t="s">
        <v>214</v>
      </c>
      <c r="DV2">
        <v>3</v>
      </c>
      <c r="DW2">
        <v>8</v>
      </c>
      <c r="DX2" s="1" t="s">
        <v>194</v>
      </c>
      <c r="DY2">
        <v>4</v>
      </c>
      <c r="DZ2">
        <v>8</v>
      </c>
      <c r="EA2" s="1" t="s">
        <v>188</v>
      </c>
      <c r="EB2">
        <v>6</v>
      </c>
      <c r="EC2">
        <v>11</v>
      </c>
      <c r="ED2">
        <f t="shared" ref="ED2:ED26" si="0">M2 - BW2</f>
        <v>1</v>
      </c>
      <c r="EE2">
        <f t="shared" ref="EE2:EE26" si="1">IF(M2 = BW2, 0, IF(M2 &gt; BW2, 1, IF(M2 &lt; BW2, -1, "")))</f>
        <v>1</v>
      </c>
      <c r="EF2" s="3">
        <f>ROUND(AVERAGE(VLOOKUP(Q2, E!A:B, 2, FALSE), VLOOKUP(T2, E!A:B, 2, FALSE), VLOOKUP(W2, E!A:B, 2, FALSE), VLOOKUP(Z2, E!A:B, 2, FALSE), VLOOKUP(AC2, E!A:B, 2, FALSE), VLOOKUP(AF2, E!A:B, 2, FALSE), VLOOKUP(AI2, E!A:B, 2, FALSE), VLOOKUP(AL2, E!A:B, 2, FALSE)), 1)</f>
        <v>4.9000000000000004</v>
      </c>
      <c r="EG2" s="3">
        <f>ROUND(AVERAGE(VLOOKUP(CA2, E!A:B, 2, FALSE), VLOOKUP(CD2, E!A:B, 2, FALSE), VLOOKUP(CG2, E!A:B, 2, FALSE), VLOOKUP(CJ2, E!A:B, 2, FALSE), VLOOKUP(CM2, E!A:B, 2, FALSE), VLOOKUP(CP2, E!A:B, 2, FALSE), VLOOKUP(CS2, E!A:B, 2, FALSE), VLOOKUP(CV2, E!A:B, 2, FALSE)), 1)</f>
        <v>3.9</v>
      </c>
    </row>
    <row r="3" spans="1:137" x14ac:dyDescent="0.2">
      <c r="A3" s="1" t="s">
        <v>246</v>
      </c>
      <c r="B3" s="2">
        <v>43341.169340277775</v>
      </c>
      <c r="C3">
        <v>65000000</v>
      </c>
      <c r="D3">
        <v>54000005</v>
      </c>
      <c r="E3" s="1" t="s">
        <v>243</v>
      </c>
      <c r="F3">
        <v>72000010</v>
      </c>
      <c r="G3" s="1" t="s">
        <v>247</v>
      </c>
      <c r="H3">
        <v>0</v>
      </c>
      <c r="I3" s="1" t="s">
        <v>133</v>
      </c>
      <c r="J3" s="1" t="s">
        <v>134</v>
      </c>
      <c r="K3" s="1" t="s">
        <v>135</v>
      </c>
      <c r="L3">
        <v>3022</v>
      </c>
      <c r="M3">
        <v>0</v>
      </c>
      <c r="N3" s="1" t="s">
        <v>136</v>
      </c>
      <c r="O3" s="1" t="s">
        <v>137</v>
      </c>
      <c r="P3">
        <v>16000171</v>
      </c>
      <c r="Q3" s="1" t="s">
        <v>228</v>
      </c>
      <c r="R3">
        <v>4</v>
      </c>
      <c r="S3">
        <v>8</v>
      </c>
      <c r="T3" s="1" t="s">
        <v>145</v>
      </c>
      <c r="U3">
        <v>9</v>
      </c>
      <c r="V3">
        <v>13</v>
      </c>
      <c r="W3" s="1" t="s">
        <v>211</v>
      </c>
      <c r="X3">
        <v>9</v>
      </c>
      <c r="Y3">
        <v>13</v>
      </c>
      <c r="Z3" s="1" t="s">
        <v>143</v>
      </c>
      <c r="AA3">
        <v>9</v>
      </c>
      <c r="AB3">
        <v>13</v>
      </c>
      <c r="AC3" s="1" t="s">
        <v>164</v>
      </c>
      <c r="AD3">
        <v>7</v>
      </c>
      <c r="AE3">
        <v>11</v>
      </c>
      <c r="AF3" s="1" t="s">
        <v>202</v>
      </c>
      <c r="AG3">
        <v>7</v>
      </c>
      <c r="AH3">
        <v>11</v>
      </c>
      <c r="AI3" s="1" t="s">
        <v>141</v>
      </c>
      <c r="AJ3">
        <v>9</v>
      </c>
      <c r="AK3">
        <v>13</v>
      </c>
      <c r="AL3" s="1" t="s">
        <v>142</v>
      </c>
      <c r="AM3">
        <v>7</v>
      </c>
      <c r="AN3">
        <v>11</v>
      </c>
      <c r="AO3" s="1" t="s">
        <v>146</v>
      </c>
      <c r="AP3" s="1" t="s">
        <v>146</v>
      </c>
      <c r="AQ3" s="1" t="s">
        <v>146</v>
      </c>
      <c r="AS3" s="1" t="s">
        <v>146</v>
      </c>
      <c r="AT3" s="1" t="s">
        <v>146</v>
      </c>
      <c r="AV3" s="1" t="s">
        <v>146</v>
      </c>
      <c r="AY3" s="1" t="s">
        <v>146</v>
      </c>
      <c r="BB3" s="1" t="s">
        <v>146</v>
      </c>
      <c r="BE3" s="1" t="s">
        <v>146</v>
      </c>
      <c r="BH3" s="1" t="s">
        <v>146</v>
      </c>
      <c r="BK3" s="1" t="s">
        <v>146</v>
      </c>
      <c r="BN3" s="1" t="s">
        <v>146</v>
      </c>
      <c r="BQ3" s="1" t="s">
        <v>146</v>
      </c>
      <c r="BT3" s="1" t="s">
        <v>342</v>
      </c>
      <c r="BU3" s="1" t="s">
        <v>343</v>
      </c>
      <c r="BV3">
        <v>4136</v>
      </c>
      <c r="BW3">
        <v>1</v>
      </c>
      <c r="BX3" s="1" t="s">
        <v>344</v>
      </c>
      <c r="BY3" s="1" t="s">
        <v>345</v>
      </c>
      <c r="BZ3">
        <v>16000138</v>
      </c>
      <c r="CA3" s="1" t="s">
        <v>213</v>
      </c>
      <c r="CB3">
        <v>7</v>
      </c>
      <c r="CC3">
        <v>11</v>
      </c>
      <c r="CD3" s="1" t="s">
        <v>208</v>
      </c>
      <c r="CE3">
        <v>1</v>
      </c>
      <c r="CF3">
        <v>5</v>
      </c>
      <c r="CG3" s="1" t="s">
        <v>200</v>
      </c>
      <c r="CH3">
        <v>1</v>
      </c>
      <c r="CI3">
        <v>5</v>
      </c>
      <c r="CJ3" s="1" t="s">
        <v>157</v>
      </c>
      <c r="CK3">
        <v>7</v>
      </c>
      <c r="CL3">
        <v>11</v>
      </c>
      <c r="CM3" s="1" t="s">
        <v>141</v>
      </c>
      <c r="CN3">
        <v>9</v>
      </c>
      <c r="CO3">
        <v>13</v>
      </c>
      <c r="CP3" s="1" t="s">
        <v>158</v>
      </c>
      <c r="CQ3">
        <v>9</v>
      </c>
      <c r="CR3">
        <v>13</v>
      </c>
      <c r="CS3" s="1" t="s">
        <v>223</v>
      </c>
      <c r="CT3">
        <v>7</v>
      </c>
      <c r="CU3">
        <v>11</v>
      </c>
      <c r="CV3" s="1" t="s">
        <v>190</v>
      </c>
      <c r="CW3">
        <v>9</v>
      </c>
      <c r="CX3">
        <v>13</v>
      </c>
      <c r="CY3" s="1" t="s">
        <v>146</v>
      </c>
      <c r="CZ3" s="1" t="s">
        <v>146</v>
      </c>
      <c r="DA3" s="1" t="s">
        <v>146</v>
      </c>
      <c r="DC3" s="1" t="s">
        <v>146</v>
      </c>
      <c r="DD3" s="1" t="s">
        <v>146</v>
      </c>
      <c r="DF3" s="1" t="s">
        <v>146</v>
      </c>
      <c r="DI3" s="1" t="s">
        <v>146</v>
      </c>
      <c r="DL3" s="1" t="s">
        <v>146</v>
      </c>
      <c r="DO3" s="1" t="s">
        <v>146</v>
      </c>
      <c r="DR3" s="1" t="s">
        <v>146</v>
      </c>
      <c r="DU3" s="1" t="s">
        <v>146</v>
      </c>
      <c r="DX3" s="1" t="s">
        <v>146</v>
      </c>
      <c r="EA3" s="1" t="s">
        <v>146</v>
      </c>
      <c r="ED3">
        <f t="shared" si="0"/>
        <v>-1</v>
      </c>
      <c r="EE3">
        <f t="shared" si="1"/>
        <v>-1</v>
      </c>
      <c r="EF3" s="3">
        <f>ROUND(AVERAGE(VLOOKUP(Q3, E!A:B, 2, FALSE), VLOOKUP(T3, E!A:B, 2, FALSE), VLOOKUP(W3, E!A:B, 2, FALSE), VLOOKUP(Z3, E!A:B, 2, FALSE), VLOOKUP(AC3, E!A:B, 2, FALSE), VLOOKUP(AF3, E!A:B, 2, FALSE), VLOOKUP(AI3, E!A:B, 2, FALSE), VLOOKUP(AL3, E!A:B, 2, FALSE)), 1)</f>
        <v>3.6</v>
      </c>
      <c r="EG3" s="3">
        <f>ROUND(AVERAGE(VLOOKUP(CA3, E!A:B, 2, FALSE), VLOOKUP(CD3, E!A:B, 2, FALSE), VLOOKUP(CG3, E!A:B, 2, FALSE), VLOOKUP(CJ3, E!A:B, 2, FALSE), VLOOKUP(CM3, E!A:B, 2, FALSE), VLOOKUP(CP3, E!A:B, 2, FALSE), VLOOKUP(CS3, E!A:B, 2, FALSE), VLOOKUP(CV3, E!A:B, 2, FALSE)), 1)</f>
        <v>4.4000000000000004</v>
      </c>
    </row>
    <row r="4" spans="1:137" x14ac:dyDescent="0.2">
      <c r="A4" s="1" t="s">
        <v>246</v>
      </c>
      <c r="B4" s="2">
        <v>43341.166655092595</v>
      </c>
      <c r="C4">
        <v>65000000</v>
      </c>
      <c r="D4">
        <v>54000024</v>
      </c>
      <c r="E4" s="1" t="s">
        <v>245</v>
      </c>
      <c r="F4">
        <v>72000010</v>
      </c>
      <c r="G4" s="1" t="s">
        <v>247</v>
      </c>
      <c r="H4">
        <v>0</v>
      </c>
      <c r="I4" s="1" t="s">
        <v>133</v>
      </c>
      <c r="J4" s="1" t="s">
        <v>134</v>
      </c>
      <c r="K4" s="1" t="s">
        <v>135</v>
      </c>
      <c r="L4">
        <v>3022</v>
      </c>
      <c r="M4">
        <v>0</v>
      </c>
      <c r="N4" s="1" t="s">
        <v>136</v>
      </c>
      <c r="O4" s="1" t="s">
        <v>137</v>
      </c>
      <c r="P4">
        <v>16000171</v>
      </c>
      <c r="Q4" s="1" t="s">
        <v>228</v>
      </c>
      <c r="R4">
        <v>4</v>
      </c>
      <c r="S4">
        <v>8</v>
      </c>
      <c r="T4" s="1" t="s">
        <v>145</v>
      </c>
      <c r="U4">
        <v>9</v>
      </c>
      <c r="V4">
        <v>13</v>
      </c>
      <c r="W4" s="1" t="s">
        <v>211</v>
      </c>
      <c r="X4">
        <v>9</v>
      </c>
      <c r="Y4">
        <v>13</v>
      </c>
      <c r="Z4" s="1" t="s">
        <v>143</v>
      </c>
      <c r="AA4">
        <v>9</v>
      </c>
      <c r="AB4">
        <v>13</v>
      </c>
      <c r="AC4" s="1" t="s">
        <v>164</v>
      </c>
      <c r="AD4">
        <v>7</v>
      </c>
      <c r="AE4">
        <v>11</v>
      </c>
      <c r="AF4" s="1" t="s">
        <v>202</v>
      </c>
      <c r="AG4">
        <v>7</v>
      </c>
      <c r="AH4">
        <v>11</v>
      </c>
      <c r="AI4" s="1" t="s">
        <v>141</v>
      </c>
      <c r="AJ4">
        <v>9</v>
      </c>
      <c r="AK4">
        <v>13</v>
      </c>
      <c r="AL4" s="1" t="s">
        <v>142</v>
      </c>
      <c r="AM4">
        <v>7</v>
      </c>
      <c r="AN4">
        <v>11</v>
      </c>
      <c r="AO4" s="1" t="s">
        <v>146</v>
      </c>
      <c r="AP4" s="1" t="s">
        <v>146</v>
      </c>
      <c r="AQ4" s="1" t="s">
        <v>146</v>
      </c>
      <c r="AS4" s="1" t="s">
        <v>146</v>
      </c>
      <c r="AT4" s="1" t="s">
        <v>146</v>
      </c>
      <c r="AV4" s="1" t="s">
        <v>146</v>
      </c>
      <c r="AY4" s="1" t="s">
        <v>146</v>
      </c>
      <c r="BB4" s="1" t="s">
        <v>146</v>
      </c>
      <c r="BE4" s="1" t="s">
        <v>146</v>
      </c>
      <c r="BH4" s="1" t="s">
        <v>146</v>
      </c>
      <c r="BK4" s="1" t="s">
        <v>146</v>
      </c>
      <c r="BN4" s="1" t="s">
        <v>146</v>
      </c>
      <c r="BQ4" s="1" t="s">
        <v>146</v>
      </c>
      <c r="BT4" s="1" t="s">
        <v>346</v>
      </c>
      <c r="BU4" s="1" t="s">
        <v>347</v>
      </c>
      <c r="BV4">
        <v>5501</v>
      </c>
      <c r="BW4">
        <v>3</v>
      </c>
      <c r="BX4" s="1" t="s">
        <v>348</v>
      </c>
      <c r="BY4" s="1" t="s">
        <v>349</v>
      </c>
      <c r="BZ4">
        <v>16000014</v>
      </c>
      <c r="CA4" s="1" t="s">
        <v>223</v>
      </c>
      <c r="CB4">
        <v>7</v>
      </c>
      <c r="CC4">
        <v>11</v>
      </c>
      <c r="CD4" s="1" t="s">
        <v>216</v>
      </c>
      <c r="CE4">
        <v>1</v>
      </c>
      <c r="CF4">
        <v>5</v>
      </c>
      <c r="CG4" s="1" t="s">
        <v>200</v>
      </c>
      <c r="CH4">
        <v>1</v>
      </c>
      <c r="CI4">
        <v>5</v>
      </c>
      <c r="CJ4" s="1" t="s">
        <v>177</v>
      </c>
      <c r="CK4">
        <v>4</v>
      </c>
      <c r="CL4">
        <v>8</v>
      </c>
      <c r="CM4" s="1" t="s">
        <v>176</v>
      </c>
      <c r="CN4">
        <v>1</v>
      </c>
      <c r="CO4">
        <v>5</v>
      </c>
      <c r="CP4" s="1" t="s">
        <v>193</v>
      </c>
      <c r="CQ4">
        <v>4</v>
      </c>
      <c r="CR4">
        <v>8</v>
      </c>
      <c r="CS4" s="1" t="s">
        <v>214</v>
      </c>
      <c r="CT4">
        <v>4</v>
      </c>
      <c r="CU4">
        <v>8</v>
      </c>
      <c r="CV4" s="1" t="s">
        <v>186</v>
      </c>
      <c r="CW4">
        <v>7</v>
      </c>
      <c r="CX4">
        <v>11</v>
      </c>
      <c r="CY4" s="1" t="s">
        <v>146</v>
      </c>
      <c r="CZ4" s="1" t="s">
        <v>146</v>
      </c>
      <c r="DA4" s="1" t="s">
        <v>146</v>
      </c>
      <c r="DC4" s="1" t="s">
        <v>146</v>
      </c>
      <c r="DD4" s="1" t="s">
        <v>146</v>
      </c>
      <c r="DF4" s="1" t="s">
        <v>146</v>
      </c>
      <c r="DI4" s="1" t="s">
        <v>146</v>
      </c>
      <c r="DL4" s="1" t="s">
        <v>146</v>
      </c>
      <c r="DO4" s="1" t="s">
        <v>146</v>
      </c>
      <c r="DR4" s="1" t="s">
        <v>146</v>
      </c>
      <c r="DU4" s="1" t="s">
        <v>146</v>
      </c>
      <c r="DX4" s="1" t="s">
        <v>146</v>
      </c>
      <c r="EA4" s="1" t="s">
        <v>146</v>
      </c>
      <c r="ED4">
        <f t="shared" si="0"/>
        <v>-3</v>
      </c>
      <c r="EE4">
        <f t="shared" si="1"/>
        <v>-1</v>
      </c>
      <c r="EF4" s="3">
        <f>ROUND(AVERAGE(VLOOKUP(Q4, E!A:B, 2, FALSE), VLOOKUP(T4, E!A:B, 2, FALSE), VLOOKUP(W4, E!A:B, 2, FALSE), VLOOKUP(Z4, E!A:B, 2, FALSE), VLOOKUP(AC4, E!A:B, 2, FALSE), VLOOKUP(AF4, E!A:B, 2, FALSE), VLOOKUP(AI4, E!A:B, 2, FALSE), VLOOKUP(AL4, E!A:B, 2, FALSE)), 1)</f>
        <v>3.6</v>
      </c>
      <c r="EG4" s="3">
        <f>ROUND(AVERAGE(VLOOKUP(CA4, E!A:B, 2, FALSE), VLOOKUP(CD4, E!A:B, 2, FALSE), VLOOKUP(CG4, E!A:B, 2, FALSE), VLOOKUP(CJ4, E!A:B, 2, FALSE), VLOOKUP(CM4, E!A:B, 2, FALSE), VLOOKUP(CP4, E!A:B, 2, FALSE), VLOOKUP(CS4, E!A:B, 2, FALSE), VLOOKUP(CV4, E!A:B, 2, FALSE)), 1)</f>
        <v>5.3</v>
      </c>
    </row>
    <row r="5" spans="1:137" x14ac:dyDescent="0.2">
      <c r="A5" s="1" t="s">
        <v>246</v>
      </c>
      <c r="B5" s="2">
        <v>43341.161574074074</v>
      </c>
      <c r="C5">
        <v>65000000</v>
      </c>
      <c r="D5">
        <v>54000004</v>
      </c>
      <c r="E5" s="1" t="s">
        <v>248</v>
      </c>
      <c r="F5">
        <v>72000010</v>
      </c>
      <c r="G5" s="1" t="s">
        <v>247</v>
      </c>
      <c r="H5">
        <v>0</v>
      </c>
      <c r="I5" s="1" t="s">
        <v>133</v>
      </c>
      <c r="J5" s="1" t="s">
        <v>134</v>
      </c>
      <c r="K5" s="1" t="s">
        <v>135</v>
      </c>
      <c r="L5">
        <v>3022</v>
      </c>
      <c r="M5">
        <v>0</v>
      </c>
      <c r="N5" s="1" t="s">
        <v>136</v>
      </c>
      <c r="O5" s="1" t="s">
        <v>137</v>
      </c>
      <c r="P5">
        <v>16000171</v>
      </c>
      <c r="Q5" s="1" t="s">
        <v>228</v>
      </c>
      <c r="R5">
        <v>4</v>
      </c>
      <c r="S5">
        <v>8</v>
      </c>
      <c r="T5" s="1" t="s">
        <v>145</v>
      </c>
      <c r="U5">
        <v>9</v>
      </c>
      <c r="V5">
        <v>13</v>
      </c>
      <c r="W5" s="1" t="s">
        <v>211</v>
      </c>
      <c r="X5">
        <v>9</v>
      </c>
      <c r="Y5">
        <v>13</v>
      </c>
      <c r="Z5" s="1" t="s">
        <v>143</v>
      </c>
      <c r="AA5">
        <v>9</v>
      </c>
      <c r="AB5">
        <v>13</v>
      </c>
      <c r="AC5" s="1" t="s">
        <v>164</v>
      </c>
      <c r="AD5">
        <v>7</v>
      </c>
      <c r="AE5">
        <v>11</v>
      </c>
      <c r="AF5" s="1" t="s">
        <v>202</v>
      </c>
      <c r="AG5">
        <v>7</v>
      </c>
      <c r="AH5">
        <v>11</v>
      </c>
      <c r="AI5" s="1" t="s">
        <v>141</v>
      </c>
      <c r="AJ5">
        <v>9</v>
      </c>
      <c r="AK5">
        <v>13</v>
      </c>
      <c r="AL5" s="1" t="s">
        <v>142</v>
      </c>
      <c r="AM5">
        <v>7</v>
      </c>
      <c r="AN5">
        <v>11</v>
      </c>
      <c r="AO5" s="1" t="s">
        <v>146</v>
      </c>
      <c r="AP5" s="1" t="s">
        <v>146</v>
      </c>
      <c r="AQ5" s="1" t="s">
        <v>146</v>
      </c>
      <c r="AS5" s="1" t="s">
        <v>146</v>
      </c>
      <c r="AT5" s="1" t="s">
        <v>146</v>
      </c>
      <c r="AV5" s="1" t="s">
        <v>146</v>
      </c>
      <c r="AY5" s="1" t="s">
        <v>146</v>
      </c>
      <c r="BB5" s="1" t="s">
        <v>146</v>
      </c>
      <c r="BE5" s="1" t="s">
        <v>146</v>
      </c>
      <c r="BH5" s="1" t="s">
        <v>146</v>
      </c>
      <c r="BK5" s="1" t="s">
        <v>146</v>
      </c>
      <c r="BN5" s="1" t="s">
        <v>146</v>
      </c>
      <c r="BQ5" s="1" t="s">
        <v>146</v>
      </c>
      <c r="BT5" s="1" t="s">
        <v>350</v>
      </c>
      <c r="BU5" s="1" t="s">
        <v>351</v>
      </c>
      <c r="BV5">
        <v>4320</v>
      </c>
      <c r="BW5">
        <v>1</v>
      </c>
      <c r="BX5" s="1" t="s">
        <v>146</v>
      </c>
      <c r="BY5" s="1" t="s">
        <v>146</v>
      </c>
      <c r="CA5" s="1" t="s">
        <v>152</v>
      </c>
      <c r="CB5">
        <v>1</v>
      </c>
      <c r="CC5">
        <v>5</v>
      </c>
      <c r="CD5" s="1" t="s">
        <v>232</v>
      </c>
      <c r="CE5">
        <v>7</v>
      </c>
      <c r="CF5">
        <v>11</v>
      </c>
      <c r="CG5" s="1" t="s">
        <v>162</v>
      </c>
      <c r="CH5">
        <v>1</v>
      </c>
      <c r="CI5">
        <v>5</v>
      </c>
      <c r="CJ5" s="1" t="s">
        <v>142</v>
      </c>
      <c r="CK5">
        <v>7</v>
      </c>
      <c r="CL5">
        <v>11</v>
      </c>
      <c r="CM5" s="1" t="s">
        <v>164</v>
      </c>
      <c r="CN5">
        <v>7</v>
      </c>
      <c r="CO5">
        <v>11</v>
      </c>
      <c r="CP5" s="1" t="s">
        <v>163</v>
      </c>
      <c r="CQ5">
        <v>7</v>
      </c>
      <c r="CR5">
        <v>11</v>
      </c>
      <c r="CS5" s="1" t="s">
        <v>151</v>
      </c>
      <c r="CT5">
        <v>7</v>
      </c>
      <c r="CU5">
        <v>11</v>
      </c>
      <c r="CV5" s="1" t="s">
        <v>157</v>
      </c>
      <c r="CW5">
        <v>7</v>
      </c>
      <c r="CX5">
        <v>11</v>
      </c>
      <c r="CY5" s="1" t="s">
        <v>146</v>
      </c>
      <c r="CZ5" s="1" t="s">
        <v>146</v>
      </c>
      <c r="DA5" s="1" t="s">
        <v>146</v>
      </c>
      <c r="DC5" s="1" t="s">
        <v>146</v>
      </c>
      <c r="DD5" s="1" t="s">
        <v>146</v>
      </c>
      <c r="DF5" s="1" t="s">
        <v>146</v>
      </c>
      <c r="DI5" s="1" t="s">
        <v>146</v>
      </c>
      <c r="DL5" s="1" t="s">
        <v>146</v>
      </c>
      <c r="DO5" s="1" t="s">
        <v>146</v>
      </c>
      <c r="DR5" s="1" t="s">
        <v>146</v>
      </c>
      <c r="DU5" s="1" t="s">
        <v>146</v>
      </c>
      <c r="DX5" s="1" t="s">
        <v>146</v>
      </c>
      <c r="EA5" s="1" t="s">
        <v>146</v>
      </c>
      <c r="ED5">
        <f t="shared" si="0"/>
        <v>-1</v>
      </c>
      <c r="EE5">
        <f t="shared" si="1"/>
        <v>-1</v>
      </c>
      <c r="EF5" s="3">
        <f>ROUND(AVERAGE(VLOOKUP(Q5, E!A:B, 2, FALSE), VLOOKUP(T5, E!A:B, 2, FALSE), VLOOKUP(W5, E!A:B, 2, FALSE), VLOOKUP(Z5, E!A:B, 2, FALSE), VLOOKUP(AC5, E!A:B, 2, FALSE), VLOOKUP(AF5, E!A:B, 2, FALSE), VLOOKUP(AI5, E!A:B, 2, FALSE), VLOOKUP(AL5, E!A:B, 2, FALSE)), 1)</f>
        <v>3.6</v>
      </c>
      <c r="EG5" s="3">
        <f>ROUND(AVERAGE(VLOOKUP(CA5, E!A:B, 2, FALSE), VLOOKUP(CD5, E!A:B, 2, FALSE), VLOOKUP(CG5, E!A:B, 2, FALSE), VLOOKUP(CJ5, E!A:B, 2, FALSE), VLOOKUP(CM5, E!A:B, 2, FALSE), VLOOKUP(CP5, E!A:B, 2, FALSE), VLOOKUP(CS5, E!A:B, 2, FALSE), VLOOKUP(CV5, E!A:B, 2, FALSE)), 1)</f>
        <v>3.6</v>
      </c>
    </row>
    <row r="6" spans="1:137" x14ac:dyDescent="0.2">
      <c r="A6" s="1" t="s">
        <v>246</v>
      </c>
      <c r="B6" s="2">
        <v>43341.154004629629</v>
      </c>
      <c r="C6">
        <v>65000000</v>
      </c>
      <c r="D6">
        <v>54000024</v>
      </c>
      <c r="E6" s="1" t="s">
        <v>245</v>
      </c>
      <c r="F6">
        <v>72000010</v>
      </c>
      <c r="G6" s="1" t="s">
        <v>247</v>
      </c>
      <c r="H6">
        <v>0</v>
      </c>
      <c r="I6" s="1" t="s">
        <v>133</v>
      </c>
      <c r="J6" s="1" t="s">
        <v>134</v>
      </c>
      <c r="K6" s="1" t="s">
        <v>135</v>
      </c>
      <c r="L6">
        <v>3022</v>
      </c>
      <c r="M6">
        <v>0</v>
      </c>
      <c r="N6" s="1" t="s">
        <v>136</v>
      </c>
      <c r="O6" s="1" t="s">
        <v>137</v>
      </c>
      <c r="P6">
        <v>16000171</v>
      </c>
      <c r="Q6" s="1" t="s">
        <v>228</v>
      </c>
      <c r="R6">
        <v>4</v>
      </c>
      <c r="S6">
        <v>8</v>
      </c>
      <c r="T6" s="1" t="s">
        <v>145</v>
      </c>
      <c r="U6">
        <v>9</v>
      </c>
      <c r="V6">
        <v>13</v>
      </c>
      <c r="W6" s="1" t="s">
        <v>211</v>
      </c>
      <c r="X6">
        <v>9</v>
      </c>
      <c r="Y6">
        <v>13</v>
      </c>
      <c r="Z6" s="1" t="s">
        <v>143</v>
      </c>
      <c r="AA6">
        <v>9</v>
      </c>
      <c r="AB6">
        <v>13</v>
      </c>
      <c r="AC6" s="1" t="s">
        <v>164</v>
      </c>
      <c r="AD6">
        <v>7</v>
      </c>
      <c r="AE6">
        <v>11</v>
      </c>
      <c r="AF6" s="1" t="s">
        <v>202</v>
      </c>
      <c r="AG6">
        <v>7</v>
      </c>
      <c r="AH6">
        <v>11</v>
      </c>
      <c r="AI6" s="1" t="s">
        <v>141</v>
      </c>
      <c r="AJ6">
        <v>9</v>
      </c>
      <c r="AK6">
        <v>13</v>
      </c>
      <c r="AL6" s="1" t="s">
        <v>142</v>
      </c>
      <c r="AM6">
        <v>7</v>
      </c>
      <c r="AN6">
        <v>11</v>
      </c>
      <c r="AO6" s="1" t="s">
        <v>146</v>
      </c>
      <c r="AP6" s="1" t="s">
        <v>146</v>
      </c>
      <c r="AQ6" s="1" t="s">
        <v>146</v>
      </c>
      <c r="AS6" s="1" t="s">
        <v>146</v>
      </c>
      <c r="AT6" s="1" t="s">
        <v>146</v>
      </c>
      <c r="AV6" s="1" t="s">
        <v>146</v>
      </c>
      <c r="AY6" s="1" t="s">
        <v>146</v>
      </c>
      <c r="BB6" s="1" t="s">
        <v>146</v>
      </c>
      <c r="BE6" s="1" t="s">
        <v>146</v>
      </c>
      <c r="BH6" s="1" t="s">
        <v>146</v>
      </c>
      <c r="BK6" s="1" t="s">
        <v>146</v>
      </c>
      <c r="BN6" s="1" t="s">
        <v>146</v>
      </c>
      <c r="BQ6" s="1" t="s">
        <v>146</v>
      </c>
      <c r="BT6" s="1" t="s">
        <v>333</v>
      </c>
      <c r="BU6" s="1" t="s">
        <v>334</v>
      </c>
      <c r="BV6">
        <v>3806</v>
      </c>
      <c r="BW6">
        <v>3</v>
      </c>
      <c r="BX6" s="1" t="s">
        <v>335</v>
      </c>
      <c r="BY6" s="1" t="s">
        <v>336</v>
      </c>
      <c r="BZ6">
        <v>16000150</v>
      </c>
      <c r="CA6" s="1" t="s">
        <v>216</v>
      </c>
      <c r="CB6">
        <v>1</v>
      </c>
      <c r="CC6">
        <v>5</v>
      </c>
      <c r="CD6" s="1" t="s">
        <v>141</v>
      </c>
      <c r="CE6">
        <v>9</v>
      </c>
      <c r="CF6">
        <v>13</v>
      </c>
      <c r="CG6" s="1" t="s">
        <v>142</v>
      </c>
      <c r="CH6">
        <v>7</v>
      </c>
      <c r="CI6">
        <v>11</v>
      </c>
      <c r="CJ6" s="1" t="s">
        <v>182</v>
      </c>
      <c r="CK6">
        <v>1</v>
      </c>
      <c r="CL6">
        <v>5</v>
      </c>
      <c r="CM6" s="1" t="s">
        <v>169</v>
      </c>
      <c r="CN6">
        <v>9</v>
      </c>
      <c r="CO6">
        <v>13</v>
      </c>
      <c r="CP6" s="1" t="s">
        <v>176</v>
      </c>
      <c r="CQ6">
        <v>1</v>
      </c>
      <c r="CR6">
        <v>5</v>
      </c>
      <c r="CS6" s="1" t="s">
        <v>156</v>
      </c>
      <c r="CT6">
        <v>7</v>
      </c>
      <c r="CU6">
        <v>11</v>
      </c>
      <c r="CV6" s="1" t="s">
        <v>158</v>
      </c>
      <c r="CW6">
        <v>9</v>
      </c>
      <c r="CX6">
        <v>13</v>
      </c>
      <c r="CY6" s="1" t="s">
        <v>146</v>
      </c>
      <c r="CZ6" s="1" t="s">
        <v>146</v>
      </c>
      <c r="DA6" s="1" t="s">
        <v>146</v>
      </c>
      <c r="DC6" s="1" t="s">
        <v>146</v>
      </c>
      <c r="DD6" s="1" t="s">
        <v>146</v>
      </c>
      <c r="DF6" s="1" t="s">
        <v>146</v>
      </c>
      <c r="DI6" s="1" t="s">
        <v>146</v>
      </c>
      <c r="DL6" s="1" t="s">
        <v>146</v>
      </c>
      <c r="DO6" s="1" t="s">
        <v>146</v>
      </c>
      <c r="DR6" s="1" t="s">
        <v>146</v>
      </c>
      <c r="DU6" s="1" t="s">
        <v>146</v>
      </c>
      <c r="DX6" s="1" t="s">
        <v>146</v>
      </c>
      <c r="EA6" s="1" t="s">
        <v>146</v>
      </c>
      <c r="ED6">
        <f t="shared" si="0"/>
        <v>-3</v>
      </c>
      <c r="EE6">
        <f t="shared" si="1"/>
        <v>-1</v>
      </c>
      <c r="EF6" s="3">
        <f>ROUND(AVERAGE(VLOOKUP(Q6, E!A:B, 2, FALSE), VLOOKUP(T6, E!A:B, 2, FALSE), VLOOKUP(W6, E!A:B, 2, FALSE), VLOOKUP(Z6, E!A:B, 2, FALSE), VLOOKUP(AC6, E!A:B, 2, FALSE), VLOOKUP(AF6, E!A:B, 2, FALSE), VLOOKUP(AI6, E!A:B, 2, FALSE), VLOOKUP(AL6, E!A:B, 2, FALSE)), 1)</f>
        <v>3.6</v>
      </c>
      <c r="EG6" s="3">
        <f>ROUND(AVERAGE(VLOOKUP(CA6, E!A:B, 2, FALSE), VLOOKUP(CD6, E!A:B, 2, FALSE), VLOOKUP(CG6, E!A:B, 2, FALSE), VLOOKUP(CJ6, E!A:B, 2, FALSE), VLOOKUP(CM6, E!A:B, 2, FALSE), VLOOKUP(CP6, E!A:B, 2, FALSE), VLOOKUP(CS6, E!A:B, 2, FALSE), VLOOKUP(CV6, E!A:B, 2, FALSE)), 1)</f>
        <v>4</v>
      </c>
    </row>
    <row r="7" spans="1:137" x14ac:dyDescent="0.2">
      <c r="A7" s="1" t="s">
        <v>246</v>
      </c>
      <c r="B7" s="2">
        <v>43341.151620370372</v>
      </c>
      <c r="C7">
        <v>65000000</v>
      </c>
      <c r="D7">
        <v>54000014</v>
      </c>
      <c r="E7" s="1" t="s">
        <v>337</v>
      </c>
      <c r="F7">
        <v>72000010</v>
      </c>
      <c r="G7" s="1" t="s">
        <v>247</v>
      </c>
      <c r="H7">
        <v>0</v>
      </c>
      <c r="I7" s="1" t="s">
        <v>133</v>
      </c>
      <c r="J7" s="1" t="s">
        <v>134</v>
      </c>
      <c r="K7" s="1" t="s">
        <v>135</v>
      </c>
      <c r="L7">
        <v>3022</v>
      </c>
      <c r="M7">
        <v>0</v>
      </c>
      <c r="N7" s="1" t="s">
        <v>136</v>
      </c>
      <c r="O7" s="1" t="s">
        <v>137</v>
      </c>
      <c r="P7">
        <v>16000171</v>
      </c>
      <c r="Q7" s="1" t="s">
        <v>145</v>
      </c>
      <c r="R7">
        <v>9</v>
      </c>
      <c r="S7">
        <v>13</v>
      </c>
      <c r="T7" s="1" t="s">
        <v>140</v>
      </c>
      <c r="U7">
        <v>9</v>
      </c>
      <c r="V7">
        <v>13</v>
      </c>
      <c r="W7" s="1" t="s">
        <v>141</v>
      </c>
      <c r="X7">
        <v>9</v>
      </c>
      <c r="Y7">
        <v>13</v>
      </c>
      <c r="Z7" s="1" t="s">
        <v>139</v>
      </c>
      <c r="AA7">
        <v>7</v>
      </c>
      <c r="AB7">
        <v>11</v>
      </c>
      <c r="AC7" s="1" t="s">
        <v>142</v>
      </c>
      <c r="AD7">
        <v>7</v>
      </c>
      <c r="AE7">
        <v>11</v>
      </c>
      <c r="AF7" s="1" t="s">
        <v>180</v>
      </c>
      <c r="AG7">
        <v>4</v>
      </c>
      <c r="AH7">
        <v>8</v>
      </c>
      <c r="AI7" s="1" t="s">
        <v>147</v>
      </c>
      <c r="AJ7">
        <v>1</v>
      </c>
      <c r="AK7">
        <v>5</v>
      </c>
      <c r="AL7" s="1" t="s">
        <v>159</v>
      </c>
      <c r="AM7">
        <v>9</v>
      </c>
      <c r="AN7">
        <v>13</v>
      </c>
      <c r="AO7" s="1" t="s">
        <v>146</v>
      </c>
      <c r="AP7" s="1" t="s">
        <v>146</v>
      </c>
      <c r="AQ7" s="1" t="s">
        <v>146</v>
      </c>
      <c r="AS7" s="1" t="s">
        <v>146</v>
      </c>
      <c r="AT7" s="1" t="s">
        <v>146</v>
      </c>
      <c r="AV7" s="1" t="s">
        <v>146</v>
      </c>
      <c r="AY7" s="1" t="s">
        <v>146</v>
      </c>
      <c r="BB7" s="1" t="s">
        <v>146</v>
      </c>
      <c r="BE7" s="1" t="s">
        <v>146</v>
      </c>
      <c r="BH7" s="1" t="s">
        <v>146</v>
      </c>
      <c r="BK7" s="1" t="s">
        <v>146</v>
      </c>
      <c r="BN7" s="1" t="s">
        <v>146</v>
      </c>
      <c r="BQ7" s="1" t="s">
        <v>146</v>
      </c>
      <c r="BT7" s="1" t="s">
        <v>338</v>
      </c>
      <c r="BU7" s="1" t="s">
        <v>339</v>
      </c>
      <c r="BV7">
        <v>4963</v>
      </c>
      <c r="BW7">
        <v>3</v>
      </c>
      <c r="BX7" s="1" t="s">
        <v>340</v>
      </c>
      <c r="BY7" s="1" t="s">
        <v>341</v>
      </c>
      <c r="BZ7">
        <v>16000177</v>
      </c>
      <c r="CA7" s="1" t="s">
        <v>190</v>
      </c>
      <c r="CB7">
        <v>9</v>
      </c>
      <c r="CC7">
        <v>13</v>
      </c>
      <c r="CD7" s="1" t="s">
        <v>141</v>
      </c>
      <c r="CE7">
        <v>9</v>
      </c>
      <c r="CF7">
        <v>13</v>
      </c>
      <c r="CG7" s="1" t="s">
        <v>208</v>
      </c>
      <c r="CH7">
        <v>1</v>
      </c>
      <c r="CI7">
        <v>5</v>
      </c>
      <c r="CJ7" s="1" t="s">
        <v>228</v>
      </c>
      <c r="CK7">
        <v>4</v>
      </c>
      <c r="CL7">
        <v>8</v>
      </c>
      <c r="CM7" s="1" t="s">
        <v>200</v>
      </c>
      <c r="CN7">
        <v>1</v>
      </c>
      <c r="CO7">
        <v>5</v>
      </c>
      <c r="CP7" s="1" t="s">
        <v>158</v>
      </c>
      <c r="CQ7">
        <v>9</v>
      </c>
      <c r="CR7">
        <v>13</v>
      </c>
      <c r="CS7" s="1" t="s">
        <v>213</v>
      </c>
      <c r="CT7">
        <v>7</v>
      </c>
      <c r="CU7">
        <v>11</v>
      </c>
      <c r="CV7" s="1" t="s">
        <v>223</v>
      </c>
      <c r="CW7">
        <v>7</v>
      </c>
      <c r="CX7">
        <v>11</v>
      </c>
      <c r="CY7" s="1" t="s">
        <v>146</v>
      </c>
      <c r="CZ7" s="1" t="s">
        <v>146</v>
      </c>
      <c r="DA7" s="1" t="s">
        <v>146</v>
      </c>
      <c r="DC7" s="1" t="s">
        <v>146</v>
      </c>
      <c r="DD7" s="1" t="s">
        <v>146</v>
      </c>
      <c r="DF7" s="1" t="s">
        <v>146</v>
      </c>
      <c r="DI7" s="1" t="s">
        <v>146</v>
      </c>
      <c r="DL7" s="1" t="s">
        <v>146</v>
      </c>
      <c r="DO7" s="1" t="s">
        <v>146</v>
      </c>
      <c r="DR7" s="1" t="s">
        <v>146</v>
      </c>
      <c r="DU7" s="1" t="s">
        <v>146</v>
      </c>
      <c r="DX7" s="1" t="s">
        <v>146</v>
      </c>
      <c r="EA7" s="1" t="s">
        <v>146</v>
      </c>
      <c r="ED7">
        <f t="shared" si="0"/>
        <v>-3</v>
      </c>
      <c r="EE7">
        <f t="shared" si="1"/>
        <v>-1</v>
      </c>
      <c r="EF7" s="3">
        <f>ROUND(AVERAGE(VLOOKUP(Q7, E!A:B, 2, FALSE), VLOOKUP(T7, E!A:B, 2, FALSE), VLOOKUP(W7, E!A:B, 2, FALSE), VLOOKUP(Z7, E!A:B, 2, FALSE), VLOOKUP(AC7, E!A:B, 2, FALSE), VLOOKUP(AF7, E!A:B, 2, FALSE), VLOOKUP(AI7, E!A:B, 2, FALSE), VLOOKUP(AL7, E!A:B, 2, FALSE)), 1)</f>
        <v>3.4</v>
      </c>
      <c r="EG7" s="3">
        <f>ROUND(AVERAGE(VLOOKUP(CA7, E!A:B, 2, FALSE), VLOOKUP(CD7, E!A:B, 2, FALSE), VLOOKUP(CG7, E!A:B, 2, FALSE), VLOOKUP(CJ7, E!A:B, 2, FALSE), VLOOKUP(CM7, E!A:B, 2, FALSE), VLOOKUP(CP7, E!A:B, 2, FALSE), VLOOKUP(CS7, E!A:B, 2, FALSE), VLOOKUP(CV7, E!A:B, 2, FALSE)), 1)</f>
        <v>4.4000000000000004</v>
      </c>
    </row>
    <row r="8" spans="1:137" x14ac:dyDescent="0.2">
      <c r="A8" s="1" t="s">
        <v>246</v>
      </c>
      <c r="B8" s="2">
        <v>43341.149236111109</v>
      </c>
      <c r="C8">
        <v>65000000</v>
      </c>
      <c r="D8">
        <v>54000009</v>
      </c>
      <c r="E8" s="1" t="s">
        <v>241</v>
      </c>
      <c r="F8">
        <v>72000010</v>
      </c>
      <c r="G8" s="1" t="s">
        <v>247</v>
      </c>
      <c r="H8">
        <v>0</v>
      </c>
      <c r="I8" s="1" t="s">
        <v>133</v>
      </c>
      <c r="J8" s="1" t="s">
        <v>134</v>
      </c>
      <c r="K8" s="1" t="s">
        <v>135</v>
      </c>
      <c r="L8">
        <v>3022</v>
      </c>
      <c r="M8">
        <v>1</v>
      </c>
      <c r="N8" s="1" t="s">
        <v>136</v>
      </c>
      <c r="O8" s="1" t="s">
        <v>137</v>
      </c>
      <c r="P8">
        <v>16000171</v>
      </c>
      <c r="Q8" s="1" t="s">
        <v>145</v>
      </c>
      <c r="R8">
        <v>9</v>
      </c>
      <c r="S8">
        <v>13</v>
      </c>
      <c r="T8" s="1" t="s">
        <v>140</v>
      </c>
      <c r="U8">
        <v>9</v>
      </c>
      <c r="V8">
        <v>13</v>
      </c>
      <c r="W8" s="1" t="s">
        <v>141</v>
      </c>
      <c r="X8">
        <v>9</v>
      </c>
      <c r="Y8">
        <v>13</v>
      </c>
      <c r="Z8" s="1" t="s">
        <v>139</v>
      </c>
      <c r="AA8">
        <v>7</v>
      </c>
      <c r="AB8">
        <v>11</v>
      </c>
      <c r="AC8" s="1" t="s">
        <v>142</v>
      </c>
      <c r="AD8">
        <v>7</v>
      </c>
      <c r="AE8">
        <v>11</v>
      </c>
      <c r="AF8" s="1" t="s">
        <v>180</v>
      </c>
      <c r="AG8">
        <v>4</v>
      </c>
      <c r="AH8">
        <v>8</v>
      </c>
      <c r="AI8" s="1" t="s">
        <v>147</v>
      </c>
      <c r="AJ8">
        <v>1</v>
      </c>
      <c r="AK8">
        <v>5</v>
      </c>
      <c r="AL8" s="1" t="s">
        <v>159</v>
      </c>
      <c r="AM8">
        <v>9</v>
      </c>
      <c r="AN8">
        <v>13</v>
      </c>
      <c r="AO8" s="1" t="s">
        <v>146</v>
      </c>
      <c r="AP8" s="1" t="s">
        <v>146</v>
      </c>
      <c r="AQ8" s="1" t="s">
        <v>146</v>
      </c>
      <c r="AS8" s="1" t="s">
        <v>146</v>
      </c>
      <c r="AT8" s="1" t="s">
        <v>146</v>
      </c>
      <c r="AV8" s="1" t="s">
        <v>146</v>
      </c>
      <c r="AY8" s="1" t="s">
        <v>146</v>
      </c>
      <c r="BB8" s="1" t="s">
        <v>146</v>
      </c>
      <c r="BE8" s="1" t="s">
        <v>146</v>
      </c>
      <c r="BH8" s="1" t="s">
        <v>146</v>
      </c>
      <c r="BK8" s="1" t="s">
        <v>146</v>
      </c>
      <c r="BN8" s="1" t="s">
        <v>146</v>
      </c>
      <c r="BQ8" s="1" t="s">
        <v>146</v>
      </c>
      <c r="BT8" s="1" t="s">
        <v>331</v>
      </c>
      <c r="BU8" s="1" t="s">
        <v>332</v>
      </c>
      <c r="BV8">
        <v>4653</v>
      </c>
      <c r="BW8">
        <v>2</v>
      </c>
      <c r="BX8" s="1" t="s">
        <v>146</v>
      </c>
      <c r="BY8" s="1" t="s">
        <v>146</v>
      </c>
      <c r="CA8" s="1" t="s">
        <v>200</v>
      </c>
      <c r="CB8">
        <v>1</v>
      </c>
      <c r="CC8">
        <v>5</v>
      </c>
      <c r="CD8" s="1" t="s">
        <v>157</v>
      </c>
      <c r="CE8">
        <v>7</v>
      </c>
      <c r="CF8">
        <v>11</v>
      </c>
      <c r="CG8" s="1" t="s">
        <v>165</v>
      </c>
      <c r="CH8">
        <v>1</v>
      </c>
      <c r="CI8">
        <v>5</v>
      </c>
      <c r="CJ8" s="1" t="s">
        <v>190</v>
      </c>
      <c r="CK8">
        <v>9</v>
      </c>
      <c r="CL8">
        <v>13</v>
      </c>
      <c r="CM8" s="1" t="s">
        <v>188</v>
      </c>
      <c r="CN8">
        <v>7</v>
      </c>
      <c r="CO8">
        <v>11</v>
      </c>
      <c r="CP8" s="1" t="s">
        <v>154</v>
      </c>
      <c r="CQ8">
        <v>7</v>
      </c>
      <c r="CR8">
        <v>11</v>
      </c>
      <c r="CS8" s="1" t="s">
        <v>162</v>
      </c>
      <c r="CT8">
        <v>1</v>
      </c>
      <c r="CU8">
        <v>5</v>
      </c>
      <c r="CV8" s="1" t="s">
        <v>141</v>
      </c>
      <c r="CW8">
        <v>9</v>
      </c>
      <c r="CX8">
        <v>13</v>
      </c>
      <c r="CY8" s="1" t="s">
        <v>146</v>
      </c>
      <c r="CZ8" s="1" t="s">
        <v>146</v>
      </c>
      <c r="DA8" s="1" t="s">
        <v>146</v>
      </c>
      <c r="DC8" s="1" t="s">
        <v>146</v>
      </c>
      <c r="DD8" s="1" t="s">
        <v>146</v>
      </c>
      <c r="DF8" s="1" t="s">
        <v>146</v>
      </c>
      <c r="DI8" s="1" t="s">
        <v>146</v>
      </c>
      <c r="DL8" s="1" t="s">
        <v>146</v>
      </c>
      <c r="DO8" s="1" t="s">
        <v>146</v>
      </c>
      <c r="DR8" s="1" t="s">
        <v>146</v>
      </c>
      <c r="DU8" s="1" t="s">
        <v>146</v>
      </c>
      <c r="DX8" s="1" t="s">
        <v>146</v>
      </c>
      <c r="EA8" s="1" t="s">
        <v>146</v>
      </c>
      <c r="ED8">
        <f t="shared" si="0"/>
        <v>-1</v>
      </c>
      <c r="EE8">
        <f t="shared" si="1"/>
        <v>-1</v>
      </c>
      <c r="EF8" s="3">
        <f>ROUND(AVERAGE(VLOOKUP(Q8, E!A:B, 2, FALSE), VLOOKUP(T8, E!A:B, 2, FALSE), VLOOKUP(W8, E!A:B, 2, FALSE), VLOOKUP(Z8, E!A:B, 2, FALSE), VLOOKUP(AC8, E!A:B, 2, FALSE), VLOOKUP(AF8, E!A:B, 2, FALSE), VLOOKUP(AI8, E!A:B, 2, FALSE), VLOOKUP(AL8, E!A:B, 2, FALSE)), 1)</f>
        <v>3.4</v>
      </c>
      <c r="EG8" s="3">
        <f>ROUND(AVERAGE(VLOOKUP(CA8, E!A:B, 2, FALSE), VLOOKUP(CD8, E!A:B, 2, FALSE), VLOOKUP(CG8, E!A:B, 2, FALSE), VLOOKUP(CJ8, E!A:B, 2, FALSE), VLOOKUP(CM8, E!A:B, 2, FALSE), VLOOKUP(CP8, E!A:B, 2, FALSE), VLOOKUP(CS8, E!A:B, 2, FALSE), VLOOKUP(CV8, E!A:B, 2, FALSE)), 1)</f>
        <v>3.9</v>
      </c>
    </row>
    <row r="9" spans="1:137" x14ac:dyDescent="0.2">
      <c r="A9" s="1" t="s">
        <v>246</v>
      </c>
      <c r="B9" s="2">
        <v>43341.142800925925</v>
      </c>
      <c r="C9">
        <v>65000001</v>
      </c>
      <c r="D9">
        <v>54000024</v>
      </c>
      <c r="E9" s="1" t="s">
        <v>245</v>
      </c>
      <c r="F9">
        <v>72000010</v>
      </c>
      <c r="G9" s="1" t="s">
        <v>247</v>
      </c>
      <c r="H9">
        <v>1</v>
      </c>
      <c r="I9" s="1" t="s">
        <v>133</v>
      </c>
      <c r="J9" s="1" t="s">
        <v>134</v>
      </c>
      <c r="K9" s="1" t="s">
        <v>135</v>
      </c>
      <c r="L9">
        <v>3022</v>
      </c>
      <c r="M9">
        <v>0</v>
      </c>
      <c r="N9" s="1" t="s">
        <v>136</v>
      </c>
      <c r="O9" s="1" t="s">
        <v>137</v>
      </c>
      <c r="P9">
        <v>16000171</v>
      </c>
      <c r="Q9" s="1" t="s">
        <v>145</v>
      </c>
      <c r="R9">
        <v>9</v>
      </c>
      <c r="S9">
        <v>13</v>
      </c>
      <c r="T9" s="1" t="s">
        <v>140</v>
      </c>
      <c r="U9">
        <v>9</v>
      </c>
      <c r="V9">
        <v>13</v>
      </c>
      <c r="W9" s="1" t="s">
        <v>141</v>
      </c>
      <c r="X9">
        <v>9</v>
      </c>
      <c r="Y9">
        <v>13</v>
      </c>
      <c r="Z9" s="1" t="s">
        <v>139</v>
      </c>
      <c r="AA9">
        <v>6</v>
      </c>
      <c r="AB9">
        <v>11</v>
      </c>
      <c r="AC9" s="1" t="s">
        <v>142</v>
      </c>
      <c r="AD9">
        <v>7</v>
      </c>
      <c r="AE9">
        <v>11</v>
      </c>
      <c r="AF9" s="1" t="s">
        <v>180</v>
      </c>
      <c r="AG9">
        <v>4</v>
      </c>
      <c r="AH9">
        <v>8</v>
      </c>
      <c r="AI9" s="1" t="s">
        <v>147</v>
      </c>
      <c r="AJ9">
        <v>1</v>
      </c>
      <c r="AK9">
        <v>5</v>
      </c>
      <c r="AL9" s="1" t="s">
        <v>159</v>
      </c>
      <c r="AM9">
        <v>9</v>
      </c>
      <c r="AN9">
        <v>13</v>
      </c>
      <c r="AO9" s="1" t="s">
        <v>146</v>
      </c>
      <c r="AP9" s="1" t="s">
        <v>146</v>
      </c>
      <c r="AQ9" s="1" t="s">
        <v>146</v>
      </c>
      <c r="AS9" s="1" t="s">
        <v>146</v>
      </c>
      <c r="AT9" s="1" t="s">
        <v>146</v>
      </c>
      <c r="AV9" s="1" t="s">
        <v>146</v>
      </c>
      <c r="AY9" s="1" t="s">
        <v>146</v>
      </c>
      <c r="BB9" s="1" t="s">
        <v>146</v>
      </c>
      <c r="BE9" s="1" t="s">
        <v>146</v>
      </c>
      <c r="BH9" s="1" t="s">
        <v>146</v>
      </c>
      <c r="BK9" s="1" t="s">
        <v>146</v>
      </c>
      <c r="BN9" s="1" t="s">
        <v>146</v>
      </c>
      <c r="BQ9" s="1" t="s">
        <v>146</v>
      </c>
      <c r="BT9" s="1" t="s">
        <v>315</v>
      </c>
      <c r="BU9" s="1" t="s">
        <v>316</v>
      </c>
      <c r="BV9">
        <v>3882</v>
      </c>
      <c r="BW9">
        <v>1</v>
      </c>
      <c r="BX9" s="1" t="s">
        <v>317</v>
      </c>
      <c r="BY9" s="1" t="s">
        <v>318</v>
      </c>
      <c r="BZ9">
        <v>16000091</v>
      </c>
      <c r="CA9" s="1" t="s">
        <v>144</v>
      </c>
      <c r="CB9">
        <v>7</v>
      </c>
      <c r="CC9">
        <v>11</v>
      </c>
      <c r="CD9" s="1" t="s">
        <v>156</v>
      </c>
      <c r="CE9">
        <v>7</v>
      </c>
      <c r="CF9">
        <v>11</v>
      </c>
      <c r="CG9" s="1" t="s">
        <v>149</v>
      </c>
      <c r="CH9">
        <v>7</v>
      </c>
      <c r="CI9">
        <v>11</v>
      </c>
      <c r="CJ9" s="1" t="s">
        <v>211</v>
      </c>
      <c r="CK9">
        <v>9</v>
      </c>
      <c r="CL9">
        <v>13</v>
      </c>
      <c r="CM9" s="1" t="s">
        <v>215</v>
      </c>
      <c r="CN9">
        <v>9</v>
      </c>
      <c r="CO9">
        <v>13</v>
      </c>
      <c r="CP9" s="1" t="s">
        <v>195</v>
      </c>
      <c r="CQ9">
        <v>9</v>
      </c>
      <c r="CR9">
        <v>13</v>
      </c>
      <c r="CS9" s="1" t="s">
        <v>162</v>
      </c>
      <c r="CT9">
        <v>1</v>
      </c>
      <c r="CU9">
        <v>5</v>
      </c>
      <c r="CV9" s="1" t="s">
        <v>142</v>
      </c>
      <c r="CW9">
        <v>7</v>
      </c>
      <c r="CX9">
        <v>11</v>
      </c>
      <c r="CY9" s="1" t="s">
        <v>146</v>
      </c>
      <c r="CZ9" s="1" t="s">
        <v>146</v>
      </c>
      <c r="DA9" s="1" t="s">
        <v>146</v>
      </c>
      <c r="DC9" s="1" t="s">
        <v>146</v>
      </c>
      <c r="DD9" s="1" t="s">
        <v>146</v>
      </c>
      <c r="DF9" s="1" t="s">
        <v>146</v>
      </c>
      <c r="DI9" s="1" t="s">
        <v>146</v>
      </c>
      <c r="DL9" s="1" t="s">
        <v>146</v>
      </c>
      <c r="DO9" s="1" t="s">
        <v>146</v>
      </c>
      <c r="DR9" s="1" t="s">
        <v>146</v>
      </c>
      <c r="DU9" s="1" t="s">
        <v>146</v>
      </c>
      <c r="DX9" s="1" t="s">
        <v>146</v>
      </c>
      <c r="EA9" s="1" t="s">
        <v>146</v>
      </c>
      <c r="ED9">
        <f t="shared" si="0"/>
        <v>-1</v>
      </c>
      <c r="EE9">
        <f t="shared" si="1"/>
        <v>-1</v>
      </c>
      <c r="EF9" s="3">
        <f>ROUND(AVERAGE(VLOOKUP(Q9, E!A:B, 2, FALSE), VLOOKUP(T9, E!A:B, 2, FALSE), VLOOKUP(W9, E!A:B, 2, FALSE), VLOOKUP(Z9, E!A:B, 2, FALSE), VLOOKUP(AC9, E!A:B, 2, FALSE), VLOOKUP(AF9, E!A:B, 2, FALSE), VLOOKUP(AI9, E!A:B, 2, FALSE), VLOOKUP(AL9, E!A:B, 2, FALSE)), 1)</f>
        <v>3.4</v>
      </c>
      <c r="EG9" s="3">
        <f>ROUND(AVERAGE(VLOOKUP(CA9, E!A:B, 2, FALSE), VLOOKUP(CD9, E!A:B, 2, FALSE), VLOOKUP(CG9, E!A:B, 2, FALSE), VLOOKUP(CJ9, E!A:B, 2, FALSE), VLOOKUP(CM9, E!A:B, 2, FALSE), VLOOKUP(CP9, E!A:B, 2, FALSE), VLOOKUP(CS9, E!A:B, 2, FALSE), VLOOKUP(CV9, E!A:B, 2, FALSE)), 1)</f>
        <v>2.6</v>
      </c>
    </row>
    <row r="10" spans="1:137" x14ac:dyDescent="0.2">
      <c r="A10" s="1" t="s">
        <v>246</v>
      </c>
      <c r="B10" s="2">
        <v>43341.139062499999</v>
      </c>
      <c r="C10">
        <v>65000001</v>
      </c>
      <c r="D10">
        <v>54000003</v>
      </c>
      <c r="E10" s="1" t="s">
        <v>203</v>
      </c>
      <c r="F10">
        <v>72000010</v>
      </c>
      <c r="G10" s="1" t="s">
        <v>247</v>
      </c>
      <c r="H10">
        <v>0</v>
      </c>
      <c r="I10" s="1" t="s">
        <v>133</v>
      </c>
      <c r="J10" s="1" t="s">
        <v>134</v>
      </c>
      <c r="K10" s="1" t="s">
        <v>135</v>
      </c>
      <c r="L10">
        <v>3022</v>
      </c>
      <c r="M10">
        <v>1</v>
      </c>
      <c r="N10" s="1" t="s">
        <v>136</v>
      </c>
      <c r="O10" s="1" t="s">
        <v>137</v>
      </c>
      <c r="P10">
        <v>16000171</v>
      </c>
      <c r="Q10" s="1" t="s">
        <v>145</v>
      </c>
      <c r="R10">
        <v>9</v>
      </c>
      <c r="S10">
        <v>13</v>
      </c>
      <c r="T10" s="1" t="s">
        <v>140</v>
      </c>
      <c r="U10">
        <v>9</v>
      </c>
      <c r="V10">
        <v>13</v>
      </c>
      <c r="W10" s="1" t="s">
        <v>141</v>
      </c>
      <c r="X10">
        <v>9</v>
      </c>
      <c r="Y10">
        <v>13</v>
      </c>
      <c r="Z10" s="1" t="s">
        <v>139</v>
      </c>
      <c r="AA10">
        <v>6</v>
      </c>
      <c r="AB10">
        <v>11</v>
      </c>
      <c r="AC10" s="1" t="s">
        <v>142</v>
      </c>
      <c r="AD10">
        <v>7</v>
      </c>
      <c r="AE10">
        <v>11</v>
      </c>
      <c r="AF10" s="1" t="s">
        <v>180</v>
      </c>
      <c r="AG10">
        <v>4</v>
      </c>
      <c r="AH10">
        <v>8</v>
      </c>
      <c r="AI10" s="1" t="s">
        <v>147</v>
      </c>
      <c r="AJ10">
        <v>1</v>
      </c>
      <c r="AK10">
        <v>5</v>
      </c>
      <c r="AL10" s="1" t="s">
        <v>159</v>
      </c>
      <c r="AM10">
        <v>9</v>
      </c>
      <c r="AN10">
        <v>13</v>
      </c>
      <c r="AO10" s="1" t="s">
        <v>146</v>
      </c>
      <c r="AP10" s="1" t="s">
        <v>146</v>
      </c>
      <c r="AQ10" s="1" t="s">
        <v>146</v>
      </c>
      <c r="AS10" s="1" t="s">
        <v>146</v>
      </c>
      <c r="AT10" s="1" t="s">
        <v>146</v>
      </c>
      <c r="AV10" s="1" t="s">
        <v>146</v>
      </c>
      <c r="AY10" s="1" t="s">
        <v>146</v>
      </c>
      <c r="BB10" s="1" t="s">
        <v>146</v>
      </c>
      <c r="BE10" s="1" t="s">
        <v>146</v>
      </c>
      <c r="BH10" s="1" t="s">
        <v>146</v>
      </c>
      <c r="BK10" s="1" t="s">
        <v>146</v>
      </c>
      <c r="BN10" s="1" t="s">
        <v>146</v>
      </c>
      <c r="BQ10" s="1" t="s">
        <v>146</v>
      </c>
      <c r="BT10" s="1" t="s">
        <v>319</v>
      </c>
      <c r="BU10" s="1" t="s">
        <v>320</v>
      </c>
      <c r="BV10">
        <v>4034</v>
      </c>
      <c r="BW10">
        <v>0</v>
      </c>
      <c r="BX10" s="1" t="s">
        <v>321</v>
      </c>
      <c r="BY10" s="1" t="s">
        <v>322</v>
      </c>
      <c r="BZ10">
        <v>16000002</v>
      </c>
      <c r="CA10" s="1" t="s">
        <v>149</v>
      </c>
      <c r="CB10">
        <v>7</v>
      </c>
      <c r="CC10">
        <v>11</v>
      </c>
      <c r="CD10" s="1" t="s">
        <v>142</v>
      </c>
      <c r="CE10">
        <v>7</v>
      </c>
      <c r="CF10">
        <v>11</v>
      </c>
      <c r="CG10" s="1" t="s">
        <v>144</v>
      </c>
      <c r="CH10">
        <v>7</v>
      </c>
      <c r="CI10">
        <v>11</v>
      </c>
      <c r="CJ10" s="1" t="s">
        <v>211</v>
      </c>
      <c r="CK10">
        <v>9</v>
      </c>
      <c r="CL10">
        <v>13</v>
      </c>
      <c r="CM10" s="1" t="s">
        <v>156</v>
      </c>
      <c r="CN10">
        <v>7</v>
      </c>
      <c r="CO10">
        <v>11</v>
      </c>
      <c r="CP10" s="1" t="s">
        <v>195</v>
      </c>
      <c r="CQ10">
        <v>7</v>
      </c>
      <c r="CR10">
        <v>13</v>
      </c>
      <c r="CS10" s="1" t="s">
        <v>215</v>
      </c>
      <c r="CT10">
        <v>9</v>
      </c>
      <c r="CU10">
        <v>13</v>
      </c>
      <c r="CV10" s="1" t="s">
        <v>148</v>
      </c>
      <c r="CW10">
        <v>3</v>
      </c>
      <c r="CX10">
        <v>8</v>
      </c>
      <c r="CY10" s="1" t="s">
        <v>146</v>
      </c>
      <c r="CZ10" s="1" t="s">
        <v>146</v>
      </c>
      <c r="DA10" s="1" t="s">
        <v>146</v>
      </c>
      <c r="DC10" s="1" t="s">
        <v>146</v>
      </c>
      <c r="DD10" s="1" t="s">
        <v>146</v>
      </c>
      <c r="DF10" s="1" t="s">
        <v>146</v>
      </c>
      <c r="DI10" s="1" t="s">
        <v>146</v>
      </c>
      <c r="DL10" s="1" t="s">
        <v>146</v>
      </c>
      <c r="DO10" s="1" t="s">
        <v>146</v>
      </c>
      <c r="DR10" s="1" t="s">
        <v>146</v>
      </c>
      <c r="DU10" s="1" t="s">
        <v>146</v>
      </c>
      <c r="DX10" s="1" t="s">
        <v>146</v>
      </c>
      <c r="EA10" s="1" t="s">
        <v>146</v>
      </c>
      <c r="ED10">
        <f t="shared" si="0"/>
        <v>1</v>
      </c>
      <c r="EE10">
        <f t="shared" si="1"/>
        <v>1</v>
      </c>
      <c r="EF10" s="3">
        <f>ROUND(AVERAGE(VLOOKUP(Q10, E!A:B, 2, FALSE), VLOOKUP(T10, E!A:B, 2, FALSE), VLOOKUP(W10, E!A:B, 2, FALSE), VLOOKUP(Z10, E!A:B, 2, FALSE), VLOOKUP(AC10, E!A:B, 2, FALSE), VLOOKUP(AF10, E!A:B, 2, FALSE), VLOOKUP(AI10, E!A:B, 2, FALSE), VLOOKUP(AL10, E!A:B, 2, FALSE)), 1)</f>
        <v>3.4</v>
      </c>
      <c r="EG10" s="3">
        <f>ROUND(AVERAGE(VLOOKUP(CA10, E!A:B, 2, FALSE), VLOOKUP(CD10, E!A:B, 2, FALSE), VLOOKUP(CG10, E!A:B, 2, FALSE), VLOOKUP(CJ10, E!A:B, 2, FALSE), VLOOKUP(CM10, E!A:B, 2, FALSE), VLOOKUP(CP10, E!A:B, 2, FALSE), VLOOKUP(CS10, E!A:B, 2, FALSE), VLOOKUP(CV10, E!A:B, 2, FALSE)), 1)</f>
        <v>2.6</v>
      </c>
    </row>
    <row r="11" spans="1:137" x14ac:dyDescent="0.2">
      <c r="A11" s="1" t="s">
        <v>246</v>
      </c>
      <c r="B11" s="2">
        <v>43341.13685185185</v>
      </c>
      <c r="C11">
        <v>65000001</v>
      </c>
      <c r="D11">
        <v>54000007</v>
      </c>
      <c r="E11" s="1" t="s">
        <v>262</v>
      </c>
      <c r="F11">
        <v>72000010</v>
      </c>
      <c r="G11" s="1" t="s">
        <v>247</v>
      </c>
      <c r="H11">
        <v>0</v>
      </c>
      <c r="I11" s="1" t="s">
        <v>133</v>
      </c>
      <c r="J11" s="1" t="s">
        <v>134</v>
      </c>
      <c r="K11" s="1" t="s">
        <v>135</v>
      </c>
      <c r="L11">
        <v>3022</v>
      </c>
      <c r="M11">
        <v>0</v>
      </c>
      <c r="N11" s="1" t="s">
        <v>136</v>
      </c>
      <c r="O11" s="1" t="s">
        <v>137</v>
      </c>
      <c r="P11">
        <v>16000171</v>
      </c>
      <c r="Q11" s="1" t="s">
        <v>145</v>
      </c>
      <c r="R11">
        <v>9</v>
      </c>
      <c r="S11">
        <v>13</v>
      </c>
      <c r="T11" s="1" t="s">
        <v>140</v>
      </c>
      <c r="U11">
        <v>9</v>
      </c>
      <c r="V11">
        <v>13</v>
      </c>
      <c r="W11" s="1" t="s">
        <v>141</v>
      </c>
      <c r="X11">
        <v>9</v>
      </c>
      <c r="Y11">
        <v>13</v>
      </c>
      <c r="Z11" s="1" t="s">
        <v>139</v>
      </c>
      <c r="AA11">
        <v>6</v>
      </c>
      <c r="AB11">
        <v>11</v>
      </c>
      <c r="AC11" s="1" t="s">
        <v>142</v>
      </c>
      <c r="AD11">
        <v>7</v>
      </c>
      <c r="AE11">
        <v>11</v>
      </c>
      <c r="AF11" s="1" t="s">
        <v>180</v>
      </c>
      <c r="AG11">
        <v>4</v>
      </c>
      <c r="AH11">
        <v>8</v>
      </c>
      <c r="AI11" s="1" t="s">
        <v>147</v>
      </c>
      <c r="AJ11">
        <v>1</v>
      </c>
      <c r="AK11">
        <v>5</v>
      </c>
      <c r="AL11" s="1" t="s">
        <v>159</v>
      </c>
      <c r="AM11">
        <v>9</v>
      </c>
      <c r="AN11">
        <v>13</v>
      </c>
      <c r="AO11" s="1" t="s">
        <v>146</v>
      </c>
      <c r="AP11" s="1" t="s">
        <v>146</v>
      </c>
      <c r="AQ11" s="1" t="s">
        <v>146</v>
      </c>
      <c r="AS11" s="1" t="s">
        <v>146</v>
      </c>
      <c r="AT11" s="1" t="s">
        <v>146</v>
      </c>
      <c r="AV11" s="1" t="s">
        <v>146</v>
      </c>
      <c r="AY11" s="1" t="s">
        <v>146</v>
      </c>
      <c r="BB11" s="1" t="s">
        <v>146</v>
      </c>
      <c r="BE11" s="1" t="s">
        <v>146</v>
      </c>
      <c r="BH11" s="1" t="s">
        <v>146</v>
      </c>
      <c r="BK11" s="1" t="s">
        <v>146</v>
      </c>
      <c r="BN11" s="1" t="s">
        <v>146</v>
      </c>
      <c r="BQ11" s="1" t="s">
        <v>146</v>
      </c>
      <c r="BT11" s="1" t="s">
        <v>323</v>
      </c>
      <c r="BU11" s="1" t="s">
        <v>324</v>
      </c>
      <c r="BV11">
        <v>4259</v>
      </c>
      <c r="BW11">
        <v>1</v>
      </c>
      <c r="BX11" s="1" t="s">
        <v>325</v>
      </c>
      <c r="BY11" s="1" t="s">
        <v>326</v>
      </c>
      <c r="BZ11">
        <v>16000026</v>
      </c>
      <c r="CA11" s="1" t="s">
        <v>189</v>
      </c>
      <c r="CB11">
        <v>9</v>
      </c>
      <c r="CC11">
        <v>13</v>
      </c>
      <c r="CD11" s="1" t="s">
        <v>176</v>
      </c>
      <c r="CE11">
        <v>1</v>
      </c>
      <c r="CF11">
        <v>5</v>
      </c>
      <c r="CG11" s="1" t="s">
        <v>182</v>
      </c>
      <c r="CH11">
        <v>1</v>
      </c>
      <c r="CI11">
        <v>5</v>
      </c>
      <c r="CJ11" s="1" t="s">
        <v>158</v>
      </c>
      <c r="CK11">
        <v>9</v>
      </c>
      <c r="CL11">
        <v>13</v>
      </c>
      <c r="CM11" s="1" t="s">
        <v>150</v>
      </c>
      <c r="CN11">
        <v>4</v>
      </c>
      <c r="CO11">
        <v>8</v>
      </c>
      <c r="CP11" s="1" t="s">
        <v>194</v>
      </c>
      <c r="CQ11">
        <v>4</v>
      </c>
      <c r="CR11">
        <v>8</v>
      </c>
      <c r="CS11" s="1" t="s">
        <v>185</v>
      </c>
      <c r="CT11">
        <v>4</v>
      </c>
      <c r="CU11">
        <v>8</v>
      </c>
      <c r="CV11" s="1" t="s">
        <v>170</v>
      </c>
      <c r="CW11">
        <v>1</v>
      </c>
      <c r="CX11">
        <v>5</v>
      </c>
      <c r="CY11" s="1" t="s">
        <v>146</v>
      </c>
      <c r="CZ11" s="1" t="s">
        <v>146</v>
      </c>
      <c r="DA11" s="1" t="s">
        <v>146</v>
      </c>
      <c r="DC11" s="1" t="s">
        <v>146</v>
      </c>
      <c r="DD11" s="1" t="s">
        <v>146</v>
      </c>
      <c r="DF11" s="1" t="s">
        <v>146</v>
      </c>
      <c r="DI11" s="1" t="s">
        <v>146</v>
      </c>
      <c r="DL11" s="1" t="s">
        <v>146</v>
      </c>
      <c r="DO11" s="1" t="s">
        <v>146</v>
      </c>
      <c r="DR11" s="1" t="s">
        <v>146</v>
      </c>
      <c r="DU11" s="1" t="s">
        <v>146</v>
      </c>
      <c r="DX11" s="1" t="s">
        <v>146</v>
      </c>
      <c r="EA11" s="1" t="s">
        <v>146</v>
      </c>
      <c r="ED11">
        <f t="shared" si="0"/>
        <v>-1</v>
      </c>
      <c r="EE11">
        <f t="shared" si="1"/>
        <v>-1</v>
      </c>
      <c r="EF11" s="3">
        <f>ROUND(AVERAGE(VLOOKUP(Q11, E!A:B, 2, FALSE), VLOOKUP(T11, E!A:B, 2, FALSE), VLOOKUP(W11, E!A:B, 2, FALSE), VLOOKUP(Z11, E!A:B, 2, FALSE), VLOOKUP(AC11, E!A:B, 2, FALSE), VLOOKUP(AF11, E!A:B, 2, FALSE), VLOOKUP(AI11, E!A:B, 2, FALSE), VLOOKUP(AL11, E!A:B, 2, FALSE)), 1)</f>
        <v>3.4</v>
      </c>
      <c r="EG11" s="3">
        <f>ROUND(AVERAGE(VLOOKUP(CA11, E!A:B, 2, FALSE), VLOOKUP(CD11, E!A:B, 2, FALSE), VLOOKUP(CG11, E!A:B, 2, FALSE), VLOOKUP(CJ11, E!A:B, 2, FALSE), VLOOKUP(CM11, E!A:B, 2, FALSE), VLOOKUP(CP11, E!A:B, 2, FALSE), VLOOKUP(CS11, E!A:B, 2, FALSE), VLOOKUP(CV11, E!A:B, 2, FALSE)), 1)</f>
        <v>3.6</v>
      </c>
    </row>
    <row r="12" spans="1:137" x14ac:dyDescent="0.2">
      <c r="A12" s="1" t="s">
        <v>246</v>
      </c>
      <c r="B12" s="2">
        <v>43341.133923611109</v>
      </c>
      <c r="C12">
        <v>65000001</v>
      </c>
      <c r="D12">
        <v>54000011</v>
      </c>
      <c r="E12" s="1" t="s">
        <v>244</v>
      </c>
      <c r="F12">
        <v>72000010</v>
      </c>
      <c r="G12" s="1" t="s">
        <v>247</v>
      </c>
      <c r="H12">
        <v>0</v>
      </c>
      <c r="I12" s="1" t="s">
        <v>133</v>
      </c>
      <c r="J12" s="1" t="s">
        <v>134</v>
      </c>
      <c r="K12" s="1" t="s">
        <v>135</v>
      </c>
      <c r="L12">
        <v>3022</v>
      </c>
      <c r="M12">
        <v>0</v>
      </c>
      <c r="N12" s="1" t="s">
        <v>136</v>
      </c>
      <c r="O12" s="1" t="s">
        <v>137</v>
      </c>
      <c r="P12">
        <v>16000171</v>
      </c>
      <c r="Q12" s="1" t="s">
        <v>145</v>
      </c>
      <c r="R12">
        <v>9</v>
      </c>
      <c r="S12">
        <v>13</v>
      </c>
      <c r="T12" s="1" t="s">
        <v>140</v>
      </c>
      <c r="U12">
        <v>9</v>
      </c>
      <c r="V12">
        <v>13</v>
      </c>
      <c r="W12" s="1" t="s">
        <v>141</v>
      </c>
      <c r="X12">
        <v>9</v>
      </c>
      <c r="Y12">
        <v>13</v>
      </c>
      <c r="Z12" s="1" t="s">
        <v>139</v>
      </c>
      <c r="AA12">
        <v>6</v>
      </c>
      <c r="AB12">
        <v>11</v>
      </c>
      <c r="AC12" s="1" t="s">
        <v>142</v>
      </c>
      <c r="AD12">
        <v>7</v>
      </c>
      <c r="AE12">
        <v>11</v>
      </c>
      <c r="AF12" s="1" t="s">
        <v>180</v>
      </c>
      <c r="AG12">
        <v>4</v>
      </c>
      <c r="AH12">
        <v>8</v>
      </c>
      <c r="AI12" s="1" t="s">
        <v>147</v>
      </c>
      <c r="AJ12">
        <v>1</v>
      </c>
      <c r="AK12">
        <v>5</v>
      </c>
      <c r="AL12" s="1" t="s">
        <v>159</v>
      </c>
      <c r="AM12">
        <v>9</v>
      </c>
      <c r="AN12">
        <v>13</v>
      </c>
      <c r="AO12" s="1" t="s">
        <v>146</v>
      </c>
      <c r="AP12" s="1" t="s">
        <v>146</v>
      </c>
      <c r="AQ12" s="1" t="s">
        <v>146</v>
      </c>
      <c r="AS12" s="1" t="s">
        <v>146</v>
      </c>
      <c r="AT12" s="1" t="s">
        <v>146</v>
      </c>
      <c r="AV12" s="1" t="s">
        <v>146</v>
      </c>
      <c r="AY12" s="1" t="s">
        <v>146</v>
      </c>
      <c r="BB12" s="1" t="s">
        <v>146</v>
      </c>
      <c r="BE12" s="1" t="s">
        <v>146</v>
      </c>
      <c r="BH12" s="1" t="s">
        <v>146</v>
      </c>
      <c r="BK12" s="1" t="s">
        <v>146</v>
      </c>
      <c r="BN12" s="1" t="s">
        <v>146</v>
      </c>
      <c r="BQ12" s="1" t="s">
        <v>146</v>
      </c>
      <c r="BT12" s="1" t="s">
        <v>327</v>
      </c>
      <c r="BU12" s="1" t="s">
        <v>328</v>
      </c>
      <c r="BV12">
        <v>4164</v>
      </c>
      <c r="BW12">
        <v>1</v>
      </c>
      <c r="BX12" s="1" t="s">
        <v>329</v>
      </c>
      <c r="BY12" s="1" t="s">
        <v>330</v>
      </c>
      <c r="BZ12">
        <v>16000093</v>
      </c>
      <c r="CA12" s="1" t="s">
        <v>159</v>
      </c>
      <c r="CB12">
        <v>9</v>
      </c>
      <c r="CC12">
        <v>13</v>
      </c>
      <c r="CD12" s="1" t="s">
        <v>189</v>
      </c>
      <c r="CE12">
        <v>9</v>
      </c>
      <c r="CF12">
        <v>13</v>
      </c>
      <c r="CG12" s="1" t="s">
        <v>186</v>
      </c>
      <c r="CH12">
        <v>7</v>
      </c>
      <c r="CI12">
        <v>11</v>
      </c>
      <c r="CJ12" s="1" t="s">
        <v>207</v>
      </c>
      <c r="CK12">
        <v>9</v>
      </c>
      <c r="CL12">
        <v>13</v>
      </c>
      <c r="CM12" s="1" t="s">
        <v>157</v>
      </c>
      <c r="CN12">
        <v>7</v>
      </c>
      <c r="CO12">
        <v>11</v>
      </c>
      <c r="CP12" s="1" t="s">
        <v>188</v>
      </c>
      <c r="CQ12">
        <v>7</v>
      </c>
      <c r="CR12">
        <v>11</v>
      </c>
      <c r="CS12" s="1" t="s">
        <v>176</v>
      </c>
      <c r="CT12">
        <v>1</v>
      </c>
      <c r="CU12">
        <v>5</v>
      </c>
      <c r="CV12" s="1" t="s">
        <v>167</v>
      </c>
      <c r="CW12">
        <v>9</v>
      </c>
      <c r="CX12">
        <v>13</v>
      </c>
      <c r="CY12" s="1" t="s">
        <v>146</v>
      </c>
      <c r="CZ12" s="1" t="s">
        <v>146</v>
      </c>
      <c r="DA12" s="1" t="s">
        <v>146</v>
      </c>
      <c r="DC12" s="1" t="s">
        <v>146</v>
      </c>
      <c r="DD12" s="1" t="s">
        <v>146</v>
      </c>
      <c r="DF12" s="1" t="s">
        <v>146</v>
      </c>
      <c r="DI12" s="1" t="s">
        <v>146</v>
      </c>
      <c r="DL12" s="1" t="s">
        <v>146</v>
      </c>
      <c r="DO12" s="1" t="s">
        <v>146</v>
      </c>
      <c r="DR12" s="1" t="s">
        <v>146</v>
      </c>
      <c r="DU12" s="1" t="s">
        <v>146</v>
      </c>
      <c r="DX12" s="1" t="s">
        <v>146</v>
      </c>
      <c r="EA12" s="1" t="s">
        <v>146</v>
      </c>
      <c r="ED12">
        <f t="shared" si="0"/>
        <v>-1</v>
      </c>
      <c r="EE12">
        <f t="shared" si="1"/>
        <v>-1</v>
      </c>
      <c r="EF12" s="3">
        <f>ROUND(AVERAGE(VLOOKUP(Q12, E!A:B, 2, FALSE), VLOOKUP(T12, E!A:B, 2, FALSE), VLOOKUP(W12, E!A:B, 2, FALSE), VLOOKUP(Z12, E!A:B, 2, FALSE), VLOOKUP(AC12, E!A:B, 2, FALSE), VLOOKUP(AF12, E!A:B, 2, FALSE), VLOOKUP(AI12, E!A:B, 2, FALSE), VLOOKUP(AL12, E!A:B, 2, FALSE)), 1)</f>
        <v>3.4</v>
      </c>
      <c r="EG12" s="3">
        <f>ROUND(AVERAGE(VLOOKUP(CA12, E!A:B, 2, FALSE), VLOOKUP(CD12, E!A:B, 2, FALSE), VLOOKUP(CG12, E!A:B, 2, FALSE), VLOOKUP(CJ12, E!A:B, 2, FALSE), VLOOKUP(CM12, E!A:B, 2, FALSE), VLOOKUP(CP12, E!A:B, 2, FALSE), VLOOKUP(CS12, E!A:B, 2, FALSE), VLOOKUP(CV12, E!A:B, 2, FALSE)), 1)</f>
        <v>4.3</v>
      </c>
    </row>
    <row r="13" spans="1:137" x14ac:dyDescent="0.2">
      <c r="A13" s="1" t="s">
        <v>246</v>
      </c>
      <c r="B13" s="2">
        <v>43341.130810185183</v>
      </c>
      <c r="C13">
        <v>65000000</v>
      </c>
      <c r="D13">
        <v>54000013</v>
      </c>
      <c r="E13" s="1" t="s">
        <v>292</v>
      </c>
      <c r="F13">
        <v>72000010</v>
      </c>
      <c r="G13" s="1" t="s">
        <v>247</v>
      </c>
      <c r="H13">
        <v>0</v>
      </c>
      <c r="I13" s="1" t="s">
        <v>133</v>
      </c>
      <c r="J13" s="1" t="s">
        <v>134</v>
      </c>
      <c r="K13" s="1" t="s">
        <v>135</v>
      </c>
      <c r="L13">
        <v>3022</v>
      </c>
      <c r="M13">
        <v>0</v>
      </c>
      <c r="N13" s="1" t="s">
        <v>136</v>
      </c>
      <c r="O13" s="1" t="s">
        <v>137</v>
      </c>
      <c r="P13">
        <v>16000171</v>
      </c>
      <c r="Q13" s="1" t="s">
        <v>145</v>
      </c>
      <c r="R13">
        <v>9</v>
      </c>
      <c r="S13">
        <v>13</v>
      </c>
      <c r="T13" s="1" t="s">
        <v>140</v>
      </c>
      <c r="U13">
        <v>9</v>
      </c>
      <c r="V13">
        <v>13</v>
      </c>
      <c r="W13" s="1" t="s">
        <v>141</v>
      </c>
      <c r="X13">
        <v>9</v>
      </c>
      <c r="Y13">
        <v>13</v>
      </c>
      <c r="Z13" s="1" t="s">
        <v>139</v>
      </c>
      <c r="AA13">
        <v>6</v>
      </c>
      <c r="AB13">
        <v>11</v>
      </c>
      <c r="AC13" s="1" t="s">
        <v>142</v>
      </c>
      <c r="AD13">
        <v>7</v>
      </c>
      <c r="AE13">
        <v>11</v>
      </c>
      <c r="AF13" s="1" t="s">
        <v>180</v>
      </c>
      <c r="AG13">
        <v>4</v>
      </c>
      <c r="AH13">
        <v>8</v>
      </c>
      <c r="AI13" s="1" t="s">
        <v>147</v>
      </c>
      <c r="AJ13">
        <v>1</v>
      </c>
      <c r="AK13">
        <v>5</v>
      </c>
      <c r="AL13" s="1" t="s">
        <v>159</v>
      </c>
      <c r="AM13">
        <v>9</v>
      </c>
      <c r="AN13">
        <v>13</v>
      </c>
      <c r="AO13" s="1" t="s">
        <v>146</v>
      </c>
      <c r="AP13" s="1" t="s">
        <v>146</v>
      </c>
      <c r="AQ13" s="1" t="s">
        <v>146</v>
      </c>
      <c r="AS13" s="1" t="s">
        <v>146</v>
      </c>
      <c r="AT13" s="1" t="s">
        <v>146</v>
      </c>
      <c r="AV13" s="1" t="s">
        <v>146</v>
      </c>
      <c r="AY13" s="1" t="s">
        <v>146</v>
      </c>
      <c r="BB13" s="1" t="s">
        <v>146</v>
      </c>
      <c r="BE13" s="1" t="s">
        <v>146</v>
      </c>
      <c r="BH13" s="1" t="s">
        <v>146</v>
      </c>
      <c r="BK13" s="1" t="s">
        <v>146</v>
      </c>
      <c r="BN13" s="1" t="s">
        <v>146</v>
      </c>
      <c r="BQ13" s="1" t="s">
        <v>146</v>
      </c>
      <c r="BT13" s="1" t="s">
        <v>293</v>
      </c>
      <c r="BU13" s="1" t="s">
        <v>294</v>
      </c>
      <c r="BV13">
        <v>4902</v>
      </c>
      <c r="BW13">
        <v>1</v>
      </c>
      <c r="BX13" s="1" t="s">
        <v>295</v>
      </c>
      <c r="BY13" s="1" t="s">
        <v>296</v>
      </c>
      <c r="BZ13">
        <v>16000030</v>
      </c>
      <c r="CA13" s="1" t="s">
        <v>157</v>
      </c>
      <c r="CB13">
        <v>7</v>
      </c>
      <c r="CC13">
        <v>11</v>
      </c>
      <c r="CD13" s="1" t="s">
        <v>156</v>
      </c>
      <c r="CE13">
        <v>7</v>
      </c>
      <c r="CF13">
        <v>11</v>
      </c>
      <c r="CG13" s="1" t="s">
        <v>159</v>
      </c>
      <c r="CH13">
        <v>9</v>
      </c>
      <c r="CI13">
        <v>13</v>
      </c>
      <c r="CJ13" s="1" t="s">
        <v>155</v>
      </c>
      <c r="CK13">
        <v>9</v>
      </c>
      <c r="CL13">
        <v>13</v>
      </c>
      <c r="CM13" s="1" t="s">
        <v>158</v>
      </c>
      <c r="CN13">
        <v>9</v>
      </c>
      <c r="CO13">
        <v>13</v>
      </c>
      <c r="CP13" s="1" t="s">
        <v>188</v>
      </c>
      <c r="CQ13">
        <v>7</v>
      </c>
      <c r="CR13">
        <v>11</v>
      </c>
      <c r="CS13" s="1" t="s">
        <v>142</v>
      </c>
      <c r="CT13">
        <v>7</v>
      </c>
      <c r="CU13">
        <v>11</v>
      </c>
      <c r="CV13" s="1" t="s">
        <v>141</v>
      </c>
      <c r="CW13">
        <v>9</v>
      </c>
      <c r="CX13">
        <v>13</v>
      </c>
      <c r="CY13" s="1" t="s">
        <v>146</v>
      </c>
      <c r="CZ13" s="1" t="s">
        <v>146</v>
      </c>
      <c r="DA13" s="1" t="s">
        <v>146</v>
      </c>
      <c r="DC13" s="1" t="s">
        <v>146</v>
      </c>
      <c r="DD13" s="1" t="s">
        <v>146</v>
      </c>
      <c r="DF13" s="1" t="s">
        <v>146</v>
      </c>
      <c r="DI13" s="1" t="s">
        <v>146</v>
      </c>
      <c r="DL13" s="1" t="s">
        <v>146</v>
      </c>
      <c r="DO13" s="1" t="s">
        <v>146</v>
      </c>
      <c r="DR13" s="1" t="s">
        <v>146</v>
      </c>
      <c r="DU13" s="1" t="s">
        <v>146</v>
      </c>
      <c r="DX13" s="1" t="s">
        <v>146</v>
      </c>
      <c r="EA13" s="1" t="s">
        <v>146</v>
      </c>
      <c r="ED13">
        <f t="shared" si="0"/>
        <v>-1</v>
      </c>
      <c r="EE13">
        <f t="shared" si="1"/>
        <v>-1</v>
      </c>
      <c r="EF13" s="3">
        <f>ROUND(AVERAGE(VLOOKUP(Q13, E!A:B, 2, FALSE), VLOOKUP(T13, E!A:B, 2, FALSE), VLOOKUP(W13, E!A:B, 2, FALSE), VLOOKUP(Z13, E!A:B, 2, FALSE), VLOOKUP(AC13, E!A:B, 2, FALSE), VLOOKUP(AF13, E!A:B, 2, FALSE), VLOOKUP(AI13, E!A:B, 2, FALSE), VLOOKUP(AL13, E!A:B, 2, FALSE)), 1)</f>
        <v>3.4</v>
      </c>
      <c r="EG13" s="3">
        <f>ROUND(AVERAGE(VLOOKUP(CA13, E!A:B, 2, FALSE), VLOOKUP(CD13, E!A:B, 2, FALSE), VLOOKUP(CG13, E!A:B, 2, FALSE), VLOOKUP(CJ13, E!A:B, 2, FALSE), VLOOKUP(CM13, E!A:B, 2, FALSE), VLOOKUP(CP13, E!A:B, 2, FALSE), VLOOKUP(CS13, E!A:B, 2, FALSE), VLOOKUP(CV13, E!A:B, 2, FALSE)), 1)</f>
        <v>3.3</v>
      </c>
    </row>
    <row r="14" spans="1:137" x14ac:dyDescent="0.2">
      <c r="A14" s="1" t="s">
        <v>246</v>
      </c>
      <c r="B14" s="2">
        <v>43341.128333333334</v>
      </c>
      <c r="C14">
        <v>65000000</v>
      </c>
      <c r="D14">
        <v>54000007</v>
      </c>
      <c r="E14" s="1" t="s">
        <v>262</v>
      </c>
      <c r="F14">
        <v>72000010</v>
      </c>
      <c r="G14" s="1" t="s">
        <v>247</v>
      </c>
      <c r="H14">
        <v>0</v>
      </c>
      <c r="I14" s="1" t="s">
        <v>133</v>
      </c>
      <c r="J14" s="1" t="s">
        <v>134</v>
      </c>
      <c r="K14" s="1" t="s">
        <v>135</v>
      </c>
      <c r="L14">
        <v>3022</v>
      </c>
      <c r="M14">
        <v>1</v>
      </c>
      <c r="N14" s="1" t="s">
        <v>136</v>
      </c>
      <c r="O14" s="1" t="s">
        <v>137</v>
      </c>
      <c r="P14">
        <v>16000171</v>
      </c>
      <c r="Q14" s="1" t="s">
        <v>145</v>
      </c>
      <c r="R14">
        <v>9</v>
      </c>
      <c r="S14">
        <v>13</v>
      </c>
      <c r="T14" s="1" t="s">
        <v>140</v>
      </c>
      <c r="U14">
        <v>9</v>
      </c>
      <c r="V14">
        <v>13</v>
      </c>
      <c r="W14" s="1" t="s">
        <v>141</v>
      </c>
      <c r="X14">
        <v>9</v>
      </c>
      <c r="Y14">
        <v>13</v>
      </c>
      <c r="Z14" s="1" t="s">
        <v>139</v>
      </c>
      <c r="AA14">
        <v>6</v>
      </c>
      <c r="AB14">
        <v>11</v>
      </c>
      <c r="AC14" s="1" t="s">
        <v>142</v>
      </c>
      <c r="AD14">
        <v>7</v>
      </c>
      <c r="AE14">
        <v>11</v>
      </c>
      <c r="AF14" s="1" t="s">
        <v>180</v>
      </c>
      <c r="AG14">
        <v>4</v>
      </c>
      <c r="AH14">
        <v>8</v>
      </c>
      <c r="AI14" s="1" t="s">
        <v>147</v>
      </c>
      <c r="AJ14">
        <v>1</v>
      </c>
      <c r="AK14">
        <v>5</v>
      </c>
      <c r="AL14" s="1" t="s">
        <v>159</v>
      </c>
      <c r="AM14">
        <v>9</v>
      </c>
      <c r="AN14">
        <v>13</v>
      </c>
      <c r="AO14" s="1" t="s">
        <v>146</v>
      </c>
      <c r="AP14" s="1" t="s">
        <v>146</v>
      </c>
      <c r="AQ14" s="1" t="s">
        <v>146</v>
      </c>
      <c r="AS14" s="1" t="s">
        <v>146</v>
      </c>
      <c r="AT14" s="1" t="s">
        <v>146</v>
      </c>
      <c r="AV14" s="1" t="s">
        <v>146</v>
      </c>
      <c r="AY14" s="1" t="s">
        <v>146</v>
      </c>
      <c r="BB14" s="1" t="s">
        <v>146</v>
      </c>
      <c r="BE14" s="1" t="s">
        <v>146</v>
      </c>
      <c r="BH14" s="1" t="s">
        <v>146</v>
      </c>
      <c r="BK14" s="1" t="s">
        <v>146</v>
      </c>
      <c r="BN14" s="1" t="s">
        <v>146</v>
      </c>
      <c r="BQ14" s="1" t="s">
        <v>146</v>
      </c>
      <c r="BT14" s="1" t="s">
        <v>297</v>
      </c>
      <c r="BU14" s="1" t="s">
        <v>298</v>
      </c>
      <c r="BV14">
        <v>4440</v>
      </c>
      <c r="BW14">
        <v>2</v>
      </c>
      <c r="BX14" s="1" t="s">
        <v>299</v>
      </c>
      <c r="BY14" s="1" t="s">
        <v>300</v>
      </c>
      <c r="BZ14">
        <v>16000044</v>
      </c>
      <c r="CA14" s="1" t="s">
        <v>180</v>
      </c>
      <c r="CB14">
        <v>4</v>
      </c>
      <c r="CC14">
        <v>8</v>
      </c>
      <c r="CD14" s="1" t="s">
        <v>140</v>
      </c>
      <c r="CE14">
        <v>9</v>
      </c>
      <c r="CF14">
        <v>13</v>
      </c>
      <c r="CG14" s="1" t="s">
        <v>162</v>
      </c>
      <c r="CH14">
        <v>1</v>
      </c>
      <c r="CI14">
        <v>5</v>
      </c>
      <c r="CJ14" s="1" t="s">
        <v>215</v>
      </c>
      <c r="CK14">
        <v>9</v>
      </c>
      <c r="CL14">
        <v>13</v>
      </c>
      <c r="CM14" s="1" t="s">
        <v>144</v>
      </c>
      <c r="CN14">
        <v>7</v>
      </c>
      <c r="CO14">
        <v>11</v>
      </c>
      <c r="CP14" s="1" t="s">
        <v>145</v>
      </c>
      <c r="CQ14">
        <v>9</v>
      </c>
      <c r="CR14">
        <v>13</v>
      </c>
      <c r="CS14" s="1" t="s">
        <v>195</v>
      </c>
      <c r="CT14">
        <v>9</v>
      </c>
      <c r="CU14">
        <v>13</v>
      </c>
      <c r="CV14" s="1" t="s">
        <v>142</v>
      </c>
      <c r="CW14">
        <v>7</v>
      </c>
      <c r="CX14">
        <v>11</v>
      </c>
      <c r="CY14" s="1" t="s">
        <v>146</v>
      </c>
      <c r="CZ14" s="1" t="s">
        <v>146</v>
      </c>
      <c r="DA14" s="1" t="s">
        <v>146</v>
      </c>
      <c r="DC14" s="1" t="s">
        <v>146</v>
      </c>
      <c r="DD14" s="1" t="s">
        <v>146</v>
      </c>
      <c r="DF14" s="1" t="s">
        <v>146</v>
      </c>
      <c r="DI14" s="1" t="s">
        <v>146</v>
      </c>
      <c r="DL14" s="1" t="s">
        <v>146</v>
      </c>
      <c r="DO14" s="1" t="s">
        <v>146</v>
      </c>
      <c r="DR14" s="1" t="s">
        <v>146</v>
      </c>
      <c r="DU14" s="1" t="s">
        <v>146</v>
      </c>
      <c r="DX14" s="1" t="s">
        <v>146</v>
      </c>
      <c r="EA14" s="1" t="s">
        <v>146</v>
      </c>
      <c r="ED14">
        <f t="shared" si="0"/>
        <v>-1</v>
      </c>
      <c r="EE14">
        <f t="shared" si="1"/>
        <v>-1</v>
      </c>
      <c r="EF14" s="3">
        <f>ROUND(AVERAGE(VLOOKUP(Q14, E!A:B, 2, FALSE), VLOOKUP(T14, E!A:B, 2, FALSE), VLOOKUP(W14, E!A:B, 2, FALSE), VLOOKUP(Z14, E!A:B, 2, FALSE), VLOOKUP(AC14, E!A:B, 2, FALSE), VLOOKUP(AF14, E!A:B, 2, FALSE), VLOOKUP(AI14, E!A:B, 2, FALSE), VLOOKUP(AL14, E!A:B, 2, FALSE)), 1)</f>
        <v>3.4</v>
      </c>
      <c r="EG14" s="3">
        <f>ROUND(AVERAGE(VLOOKUP(CA14, E!A:B, 2, FALSE), VLOOKUP(CD14, E!A:B, 2, FALSE), VLOOKUP(CG14, E!A:B, 2, FALSE), VLOOKUP(CJ14, E!A:B, 2, FALSE), VLOOKUP(CM14, E!A:B, 2, FALSE), VLOOKUP(CP14, E!A:B, 2, FALSE), VLOOKUP(CS14, E!A:B, 2, FALSE), VLOOKUP(CV14, E!A:B, 2, FALSE)), 1)</f>
        <v>2.9</v>
      </c>
    </row>
    <row r="15" spans="1:137" x14ac:dyDescent="0.2">
      <c r="A15" s="1" t="s">
        <v>246</v>
      </c>
      <c r="B15" s="2">
        <v>43341.12427083333</v>
      </c>
      <c r="C15">
        <v>65000000</v>
      </c>
      <c r="D15">
        <v>54000005</v>
      </c>
      <c r="E15" s="1" t="s">
        <v>243</v>
      </c>
      <c r="F15">
        <v>72000010</v>
      </c>
      <c r="G15" s="1" t="s">
        <v>247</v>
      </c>
      <c r="H15">
        <v>0</v>
      </c>
      <c r="I15" s="1" t="s">
        <v>133</v>
      </c>
      <c r="J15" s="1" t="s">
        <v>134</v>
      </c>
      <c r="K15" s="1" t="s">
        <v>135</v>
      </c>
      <c r="L15">
        <v>3022</v>
      </c>
      <c r="M15">
        <v>1</v>
      </c>
      <c r="N15" s="1" t="s">
        <v>136</v>
      </c>
      <c r="O15" s="1" t="s">
        <v>137</v>
      </c>
      <c r="P15">
        <v>16000171</v>
      </c>
      <c r="Q15" s="1" t="s">
        <v>145</v>
      </c>
      <c r="R15">
        <v>9</v>
      </c>
      <c r="S15">
        <v>13</v>
      </c>
      <c r="T15" s="1" t="s">
        <v>140</v>
      </c>
      <c r="U15">
        <v>9</v>
      </c>
      <c r="V15">
        <v>13</v>
      </c>
      <c r="W15" s="1" t="s">
        <v>141</v>
      </c>
      <c r="X15">
        <v>9</v>
      </c>
      <c r="Y15">
        <v>13</v>
      </c>
      <c r="Z15" s="1" t="s">
        <v>139</v>
      </c>
      <c r="AA15">
        <v>6</v>
      </c>
      <c r="AB15">
        <v>11</v>
      </c>
      <c r="AC15" s="1" t="s">
        <v>142</v>
      </c>
      <c r="AD15">
        <v>7</v>
      </c>
      <c r="AE15">
        <v>11</v>
      </c>
      <c r="AF15" s="1" t="s">
        <v>180</v>
      </c>
      <c r="AG15">
        <v>4</v>
      </c>
      <c r="AH15">
        <v>8</v>
      </c>
      <c r="AI15" s="1" t="s">
        <v>147</v>
      </c>
      <c r="AJ15">
        <v>1</v>
      </c>
      <c r="AK15">
        <v>5</v>
      </c>
      <c r="AL15" s="1" t="s">
        <v>159</v>
      </c>
      <c r="AM15">
        <v>9</v>
      </c>
      <c r="AN15">
        <v>13</v>
      </c>
      <c r="AO15" s="1" t="s">
        <v>146</v>
      </c>
      <c r="AP15" s="1" t="s">
        <v>146</v>
      </c>
      <c r="AQ15" s="1" t="s">
        <v>146</v>
      </c>
      <c r="AS15" s="1" t="s">
        <v>146</v>
      </c>
      <c r="AT15" s="1" t="s">
        <v>146</v>
      </c>
      <c r="AV15" s="1" t="s">
        <v>146</v>
      </c>
      <c r="AY15" s="1" t="s">
        <v>146</v>
      </c>
      <c r="BB15" s="1" t="s">
        <v>146</v>
      </c>
      <c r="BE15" s="1" t="s">
        <v>146</v>
      </c>
      <c r="BH15" s="1" t="s">
        <v>146</v>
      </c>
      <c r="BK15" s="1" t="s">
        <v>146</v>
      </c>
      <c r="BN15" s="1" t="s">
        <v>146</v>
      </c>
      <c r="BQ15" s="1" t="s">
        <v>146</v>
      </c>
      <c r="BT15" s="1" t="s">
        <v>301</v>
      </c>
      <c r="BU15" s="1" t="s">
        <v>302</v>
      </c>
      <c r="BV15">
        <v>3828</v>
      </c>
      <c r="BW15">
        <v>3</v>
      </c>
      <c r="BX15" s="1" t="s">
        <v>146</v>
      </c>
      <c r="BY15" s="1" t="s">
        <v>146</v>
      </c>
      <c r="CA15" s="1" t="s">
        <v>196</v>
      </c>
      <c r="CB15">
        <v>1</v>
      </c>
      <c r="CC15">
        <v>5</v>
      </c>
      <c r="CD15" s="1" t="s">
        <v>197</v>
      </c>
      <c r="CE15">
        <v>4</v>
      </c>
      <c r="CF15">
        <v>8</v>
      </c>
      <c r="CG15" s="1" t="s">
        <v>223</v>
      </c>
      <c r="CH15">
        <v>7</v>
      </c>
      <c r="CI15">
        <v>11</v>
      </c>
      <c r="CJ15" s="1" t="s">
        <v>185</v>
      </c>
      <c r="CK15">
        <v>4</v>
      </c>
      <c r="CL15">
        <v>8</v>
      </c>
      <c r="CM15" s="1" t="s">
        <v>184</v>
      </c>
      <c r="CN15">
        <v>1</v>
      </c>
      <c r="CO15">
        <v>5</v>
      </c>
      <c r="CP15" s="1" t="s">
        <v>181</v>
      </c>
      <c r="CQ15">
        <v>4</v>
      </c>
      <c r="CR15">
        <v>8</v>
      </c>
      <c r="CS15" s="1" t="s">
        <v>141</v>
      </c>
      <c r="CT15">
        <v>9</v>
      </c>
      <c r="CU15">
        <v>13</v>
      </c>
      <c r="CV15" s="1" t="s">
        <v>163</v>
      </c>
      <c r="CW15">
        <v>7</v>
      </c>
      <c r="CX15">
        <v>11</v>
      </c>
      <c r="CY15" s="1" t="s">
        <v>146</v>
      </c>
      <c r="CZ15" s="1" t="s">
        <v>146</v>
      </c>
      <c r="DA15" s="1" t="s">
        <v>146</v>
      </c>
      <c r="DC15" s="1" t="s">
        <v>146</v>
      </c>
      <c r="DD15" s="1" t="s">
        <v>146</v>
      </c>
      <c r="DF15" s="1" t="s">
        <v>146</v>
      </c>
      <c r="DI15" s="1" t="s">
        <v>146</v>
      </c>
      <c r="DL15" s="1" t="s">
        <v>146</v>
      </c>
      <c r="DO15" s="1" t="s">
        <v>146</v>
      </c>
      <c r="DR15" s="1" t="s">
        <v>146</v>
      </c>
      <c r="DU15" s="1" t="s">
        <v>146</v>
      </c>
      <c r="DX15" s="1" t="s">
        <v>146</v>
      </c>
      <c r="EA15" s="1" t="s">
        <v>146</v>
      </c>
      <c r="ED15">
        <f t="shared" si="0"/>
        <v>-2</v>
      </c>
      <c r="EE15">
        <f t="shared" si="1"/>
        <v>-1</v>
      </c>
      <c r="EF15" s="3">
        <f>ROUND(AVERAGE(VLOOKUP(Q15, E!A:B, 2, FALSE), VLOOKUP(T15, E!A:B, 2, FALSE), VLOOKUP(W15, E!A:B, 2, FALSE), VLOOKUP(Z15, E!A:B, 2, FALSE), VLOOKUP(AC15, E!A:B, 2, FALSE), VLOOKUP(AF15, E!A:B, 2, FALSE), VLOOKUP(AI15, E!A:B, 2, FALSE), VLOOKUP(AL15, E!A:B, 2, FALSE)), 1)</f>
        <v>3.4</v>
      </c>
      <c r="EG15" s="3">
        <f>ROUND(AVERAGE(VLOOKUP(CA15, E!A:B, 2, FALSE), VLOOKUP(CD15, E!A:B, 2, FALSE), VLOOKUP(CG15, E!A:B, 2, FALSE), VLOOKUP(CJ15, E!A:B, 2, FALSE), VLOOKUP(CM15, E!A:B, 2, FALSE), VLOOKUP(CP15, E!A:B, 2, FALSE), VLOOKUP(CS15, E!A:B, 2, FALSE), VLOOKUP(CV15, E!A:B, 2, FALSE)), 1)</f>
        <v>4.3</v>
      </c>
    </row>
    <row r="16" spans="1:137" x14ac:dyDescent="0.2">
      <c r="A16" s="1" t="s">
        <v>246</v>
      </c>
      <c r="B16" s="2">
        <v>43341.120486111111</v>
      </c>
      <c r="C16">
        <v>65000000</v>
      </c>
      <c r="D16">
        <v>54000011</v>
      </c>
      <c r="E16" s="1" t="s">
        <v>244</v>
      </c>
      <c r="F16">
        <v>72000010</v>
      </c>
      <c r="G16" s="1" t="s">
        <v>247</v>
      </c>
      <c r="H16">
        <v>0</v>
      </c>
      <c r="I16" s="1" t="s">
        <v>133</v>
      </c>
      <c r="J16" s="1" t="s">
        <v>134</v>
      </c>
      <c r="K16" s="1" t="s">
        <v>135</v>
      </c>
      <c r="L16">
        <v>3022</v>
      </c>
      <c r="M16">
        <v>0</v>
      </c>
      <c r="N16" s="1" t="s">
        <v>136</v>
      </c>
      <c r="O16" s="1" t="s">
        <v>137</v>
      </c>
      <c r="P16">
        <v>16000171</v>
      </c>
      <c r="Q16" s="1" t="s">
        <v>145</v>
      </c>
      <c r="R16">
        <v>9</v>
      </c>
      <c r="S16">
        <v>13</v>
      </c>
      <c r="T16" s="1" t="s">
        <v>140</v>
      </c>
      <c r="U16">
        <v>9</v>
      </c>
      <c r="V16">
        <v>13</v>
      </c>
      <c r="W16" s="1" t="s">
        <v>141</v>
      </c>
      <c r="X16">
        <v>9</v>
      </c>
      <c r="Y16">
        <v>13</v>
      </c>
      <c r="Z16" s="1" t="s">
        <v>139</v>
      </c>
      <c r="AA16">
        <v>6</v>
      </c>
      <c r="AB16">
        <v>11</v>
      </c>
      <c r="AC16" s="1" t="s">
        <v>142</v>
      </c>
      <c r="AD16">
        <v>7</v>
      </c>
      <c r="AE16">
        <v>11</v>
      </c>
      <c r="AF16" s="1" t="s">
        <v>180</v>
      </c>
      <c r="AG16">
        <v>4</v>
      </c>
      <c r="AH16">
        <v>8</v>
      </c>
      <c r="AI16" s="1" t="s">
        <v>147</v>
      </c>
      <c r="AJ16">
        <v>1</v>
      </c>
      <c r="AK16">
        <v>5</v>
      </c>
      <c r="AL16" s="1" t="s">
        <v>159</v>
      </c>
      <c r="AM16">
        <v>9</v>
      </c>
      <c r="AN16">
        <v>13</v>
      </c>
      <c r="AO16" s="1" t="s">
        <v>146</v>
      </c>
      <c r="AP16" s="1" t="s">
        <v>146</v>
      </c>
      <c r="AQ16" s="1" t="s">
        <v>146</v>
      </c>
      <c r="AS16" s="1" t="s">
        <v>146</v>
      </c>
      <c r="AT16" s="1" t="s">
        <v>146</v>
      </c>
      <c r="AV16" s="1" t="s">
        <v>146</v>
      </c>
      <c r="AY16" s="1" t="s">
        <v>146</v>
      </c>
      <c r="BB16" s="1" t="s">
        <v>146</v>
      </c>
      <c r="BE16" s="1" t="s">
        <v>146</v>
      </c>
      <c r="BH16" s="1" t="s">
        <v>146</v>
      </c>
      <c r="BK16" s="1" t="s">
        <v>146</v>
      </c>
      <c r="BN16" s="1" t="s">
        <v>146</v>
      </c>
      <c r="BQ16" s="1" t="s">
        <v>146</v>
      </c>
      <c r="BT16" s="1" t="s">
        <v>303</v>
      </c>
      <c r="BU16" s="1" t="s">
        <v>304</v>
      </c>
      <c r="BV16">
        <v>4305</v>
      </c>
      <c r="BW16">
        <v>1</v>
      </c>
      <c r="BX16" s="1" t="s">
        <v>305</v>
      </c>
      <c r="BY16" s="1" t="s">
        <v>306</v>
      </c>
      <c r="BZ16">
        <v>16000096</v>
      </c>
      <c r="CA16" s="1" t="s">
        <v>214</v>
      </c>
      <c r="CB16">
        <v>4</v>
      </c>
      <c r="CC16">
        <v>8</v>
      </c>
      <c r="CD16" s="1" t="s">
        <v>156</v>
      </c>
      <c r="CE16">
        <v>7</v>
      </c>
      <c r="CF16">
        <v>11</v>
      </c>
      <c r="CG16" s="1" t="s">
        <v>212</v>
      </c>
      <c r="CH16">
        <v>4</v>
      </c>
      <c r="CI16">
        <v>8</v>
      </c>
      <c r="CJ16" s="1" t="s">
        <v>141</v>
      </c>
      <c r="CK16">
        <v>9</v>
      </c>
      <c r="CL16">
        <v>13</v>
      </c>
      <c r="CM16" s="1" t="s">
        <v>185</v>
      </c>
      <c r="CN16">
        <v>4</v>
      </c>
      <c r="CO16">
        <v>8</v>
      </c>
      <c r="CP16" s="1" t="s">
        <v>159</v>
      </c>
      <c r="CQ16">
        <v>9</v>
      </c>
      <c r="CR16">
        <v>13</v>
      </c>
      <c r="CS16" s="1" t="s">
        <v>162</v>
      </c>
      <c r="CT16">
        <v>1</v>
      </c>
      <c r="CU16">
        <v>5</v>
      </c>
      <c r="CV16" s="1" t="s">
        <v>182</v>
      </c>
      <c r="CW16">
        <v>1</v>
      </c>
      <c r="CX16">
        <v>5</v>
      </c>
      <c r="CY16" s="1" t="s">
        <v>146</v>
      </c>
      <c r="CZ16" s="1" t="s">
        <v>146</v>
      </c>
      <c r="DA16" s="1" t="s">
        <v>146</v>
      </c>
      <c r="DC16" s="1" t="s">
        <v>146</v>
      </c>
      <c r="DD16" s="1" t="s">
        <v>146</v>
      </c>
      <c r="DF16" s="1" t="s">
        <v>146</v>
      </c>
      <c r="DI16" s="1" t="s">
        <v>146</v>
      </c>
      <c r="DL16" s="1" t="s">
        <v>146</v>
      </c>
      <c r="DO16" s="1" t="s">
        <v>146</v>
      </c>
      <c r="DR16" s="1" t="s">
        <v>146</v>
      </c>
      <c r="DU16" s="1" t="s">
        <v>146</v>
      </c>
      <c r="DX16" s="1" t="s">
        <v>146</v>
      </c>
      <c r="EA16" s="1" t="s">
        <v>146</v>
      </c>
      <c r="ED16">
        <f t="shared" si="0"/>
        <v>-1</v>
      </c>
      <c r="EE16">
        <f t="shared" si="1"/>
        <v>-1</v>
      </c>
      <c r="EF16" s="3">
        <f>ROUND(AVERAGE(VLOOKUP(Q16, E!A:B, 2, FALSE), VLOOKUP(T16, E!A:B, 2, FALSE), VLOOKUP(W16, E!A:B, 2, FALSE), VLOOKUP(Z16, E!A:B, 2, FALSE), VLOOKUP(AC16, E!A:B, 2, FALSE), VLOOKUP(AF16, E!A:B, 2, FALSE), VLOOKUP(AI16, E!A:B, 2, FALSE), VLOOKUP(AL16, E!A:B, 2, FALSE)), 1)</f>
        <v>3.4</v>
      </c>
      <c r="EG16" s="3">
        <f>ROUND(AVERAGE(VLOOKUP(CA16, E!A:B, 2, FALSE), VLOOKUP(CD16, E!A:B, 2, FALSE), VLOOKUP(CG16, E!A:B, 2, FALSE), VLOOKUP(CJ16, E!A:B, 2, FALSE), VLOOKUP(CM16, E!A:B, 2, FALSE), VLOOKUP(CP16, E!A:B, 2, FALSE), VLOOKUP(CS16, E!A:B, 2, FALSE), VLOOKUP(CV16, E!A:B, 2, FALSE)), 1)</f>
        <v>3.5</v>
      </c>
    </row>
    <row r="17" spans="1:137" x14ac:dyDescent="0.2">
      <c r="A17" s="1" t="s">
        <v>246</v>
      </c>
      <c r="B17" s="2">
        <v>43341.117256944446</v>
      </c>
      <c r="C17">
        <v>65000000</v>
      </c>
      <c r="D17">
        <v>54000024</v>
      </c>
      <c r="E17" s="1" t="s">
        <v>245</v>
      </c>
      <c r="F17">
        <v>72000010</v>
      </c>
      <c r="G17" s="1" t="s">
        <v>247</v>
      </c>
      <c r="H17">
        <v>0</v>
      </c>
      <c r="I17" s="1" t="s">
        <v>133</v>
      </c>
      <c r="J17" s="1" t="s">
        <v>134</v>
      </c>
      <c r="K17" s="1" t="s">
        <v>135</v>
      </c>
      <c r="L17">
        <v>3022</v>
      </c>
      <c r="M17">
        <v>0</v>
      </c>
      <c r="N17" s="1" t="s">
        <v>136</v>
      </c>
      <c r="O17" s="1" t="s">
        <v>137</v>
      </c>
      <c r="P17">
        <v>16000171</v>
      </c>
      <c r="Q17" s="1" t="s">
        <v>145</v>
      </c>
      <c r="R17">
        <v>9</v>
      </c>
      <c r="S17">
        <v>13</v>
      </c>
      <c r="T17" s="1" t="s">
        <v>140</v>
      </c>
      <c r="U17">
        <v>9</v>
      </c>
      <c r="V17">
        <v>13</v>
      </c>
      <c r="W17" s="1" t="s">
        <v>141</v>
      </c>
      <c r="X17">
        <v>9</v>
      </c>
      <c r="Y17">
        <v>13</v>
      </c>
      <c r="Z17" s="1" t="s">
        <v>139</v>
      </c>
      <c r="AA17">
        <v>6</v>
      </c>
      <c r="AB17">
        <v>11</v>
      </c>
      <c r="AC17" s="1" t="s">
        <v>142</v>
      </c>
      <c r="AD17">
        <v>7</v>
      </c>
      <c r="AE17">
        <v>11</v>
      </c>
      <c r="AF17" s="1" t="s">
        <v>180</v>
      </c>
      <c r="AG17">
        <v>4</v>
      </c>
      <c r="AH17">
        <v>8</v>
      </c>
      <c r="AI17" s="1" t="s">
        <v>147</v>
      </c>
      <c r="AJ17">
        <v>1</v>
      </c>
      <c r="AK17">
        <v>5</v>
      </c>
      <c r="AL17" s="1" t="s">
        <v>159</v>
      </c>
      <c r="AM17">
        <v>9</v>
      </c>
      <c r="AN17">
        <v>13</v>
      </c>
      <c r="AO17" s="1" t="s">
        <v>146</v>
      </c>
      <c r="AP17" s="1" t="s">
        <v>146</v>
      </c>
      <c r="AQ17" s="1" t="s">
        <v>146</v>
      </c>
      <c r="AS17" s="1" t="s">
        <v>146</v>
      </c>
      <c r="AT17" s="1" t="s">
        <v>146</v>
      </c>
      <c r="AV17" s="1" t="s">
        <v>146</v>
      </c>
      <c r="AY17" s="1" t="s">
        <v>146</v>
      </c>
      <c r="BB17" s="1" t="s">
        <v>146</v>
      </c>
      <c r="BE17" s="1" t="s">
        <v>146</v>
      </c>
      <c r="BH17" s="1" t="s">
        <v>146</v>
      </c>
      <c r="BK17" s="1" t="s">
        <v>146</v>
      </c>
      <c r="BN17" s="1" t="s">
        <v>146</v>
      </c>
      <c r="BQ17" s="1" t="s">
        <v>146</v>
      </c>
      <c r="BT17" s="1" t="s">
        <v>307</v>
      </c>
      <c r="BU17" s="1" t="s">
        <v>308</v>
      </c>
      <c r="BV17">
        <v>4322</v>
      </c>
      <c r="BW17">
        <v>1</v>
      </c>
      <c r="BX17" s="1" t="s">
        <v>309</v>
      </c>
      <c r="BY17" s="1" t="s">
        <v>310</v>
      </c>
      <c r="BZ17">
        <v>16000020</v>
      </c>
      <c r="CA17" s="1" t="s">
        <v>161</v>
      </c>
      <c r="CB17">
        <v>4</v>
      </c>
      <c r="CC17">
        <v>8</v>
      </c>
      <c r="CD17" s="1" t="s">
        <v>201</v>
      </c>
      <c r="CE17">
        <v>7</v>
      </c>
      <c r="CF17">
        <v>11</v>
      </c>
      <c r="CG17" s="1" t="s">
        <v>184</v>
      </c>
      <c r="CH17">
        <v>1</v>
      </c>
      <c r="CI17">
        <v>5</v>
      </c>
      <c r="CJ17" s="1" t="s">
        <v>185</v>
      </c>
      <c r="CK17">
        <v>4</v>
      </c>
      <c r="CL17">
        <v>8</v>
      </c>
      <c r="CM17" s="1" t="s">
        <v>167</v>
      </c>
      <c r="CN17">
        <v>9</v>
      </c>
      <c r="CO17">
        <v>13</v>
      </c>
      <c r="CP17" s="1" t="s">
        <v>183</v>
      </c>
      <c r="CQ17">
        <v>4</v>
      </c>
      <c r="CR17">
        <v>8</v>
      </c>
      <c r="CS17" s="1" t="s">
        <v>198</v>
      </c>
      <c r="CT17">
        <v>4</v>
      </c>
      <c r="CU17">
        <v>8</v>
      </c>
      <c r="CV17" s="1" t="s">
        <v>215</v>
      </c>
      <c r="CW17">
        <v>9</v>
      </c>
      <c r="CX17">
        <v>13</v>
      </c>
      <c r="CY17" s="1" t="s">
        <v>146</v>
      </c>
      <c r="CZ17" s="1" t="s">
        <v>146</v>
      </c>
      <c r="DA17" s="1" t="s">
        <v>146</v>
      </c>
      <c r="DC17" s="1" t="s">
        <v>146</v>
      </c>
      <c r="DD17" s="1" t="s">
        <v>146</v>
      </c>
      <c r="DF17" s="1" t="s">
        <v>146</v>
      </c>
      <c r="DI17" s="1" t="s">
        <v>146</v>
      </c>
      <c r="DL17" s="1" t="s">
        <v>146</v>
      </c>
      <c r="DO17" s="1" t="s">
        <v>146</v>
      </c>
      <c r="DR17" s="1" t="s">
        <v>146</v>
      </c>
      <c r="DU17" s="1" t="s">
        <v>146</v>
      </c>
      <c r="DX17" s="1" t="s">
        <v>146</v>
      </c>
      <c r="EA17" s="1" t="s">
        <v>146</v>
      </c>
      <c r="ED17">
        <f t="shared" si="0"/>
        <v>-1</v>
      </c>
      <c r="EE17">
        <f t="shared" si="1"/>
        <v>-1</v>
      </c>
      <c r="EF17" s="3">
        <f>ROUND(AVERAGE(VLOOKUP(Q17, E!A:B, 2, FALSE), VLOOKUP(T17, E!A:B, 2, FALSE), VLOOKUP(W17, E!A:B, 2, FALSE), VLOOKUP(Z17, E!A:B, 2, FALSE), VLOOKUP(AC17, E!A:B, 2, FALSE), VLOOKUP(AF17, E!A:B, 2, FALSE), VLOOKUP(AI17, E!A:B, 2, FALSE), VLOOKUP(AL17, E!A:B, 2, FALSE)), 1)</f>
        <v>3.4</v>
      </c>
      <c r="EG17" s="3">
        <f>ROUND(AVERAGE(VLOOKUP(CA17, E!A:B, 2, FALSE), VLOOKUP(CD17, E!A:B, 2, FALSE), VLOOKUP(CG17, E!A:B, 2, FALSE), VLOOKUP(CJ17, E!A:B, 2, FALSE), VLOOKUP(CM17, E!A:B, 2, FALSE), VLOOKUP(CP17, E!A:B, 2, FALSE), VLOOKUP(CS17, E!A:B, 2, FALSE), VLOOKUP(CV17, E!A:B, 2, FALSE)), 1)</f>
        <v>3.8</v>
      </c>
    </row>
    <row r="18" spans="1:137" x14ac:dyDescent="0.2">
      <c r="A18" s="1" t="s">
        <v>246</v>
      </c>
      <c r="B18" s="2">
        <v>43341.114861111113</v>
      </c>
      <c r="C18">
        <v>65000000</v>
      </c>
      <c r="D18">
        <v>54000007</v>
      </c>
      <c r="E18" s="1" t="s">
        <v>262</v>
      </c>
      <c r="F18">
        <v>72000010</v>
      </c>
      <c r="G18" s="1" t="s">
        <v>247</v>
      </c>
      <c r="H18">
        <v>0</v>
      </c>
      <c r="I18" s="1" t="s">
        <v>133</v>
      </c>
      <c r="J18" s="1" t="s">
        <v>134</v>
      </c>
      <c r="K18" s="1" t="s">
        <v>135</v>
      </c>
      <c r="L18">
        <v>3022</v>
      </c>
      <c r="M18">
        <v>1</v>
      </c>
      <c r="N18" s="1" t="s">
        <v>136</v>
      </c>
      <c r="O18" s="1" t="s">
        <v>137</v>
      </c>
      <c r="P18">
        <v>16000171</v>
      </c>
      <c r="Q18" s="1" t="s">
        <v>145</v>
      </c>
      <c r="R18">
        <v>9</v>
      </c>
      <c r="S18">
        <v>13</v>
      </c>
      <c r="T18" s="1" t="s">
        <v>140</v>
      </c>
      <c r="U18">
        <v>9</v>
      </c>
      <c r="V18">
        <v>13</v>
      </c>
      <c r="W18" s="1" t="s">
        <v>141</v>
      </c>
      <c r="X18">
        <v>9</v>
      </c>
      <c r="Y18">
        <v>13</v>
      </c>
      <c r="Z18" s="1" t="s">
        <v>139</v>
      </c>
      <c r="AA18">
        <v>6</v>
      </c>
      <c r="AB18">
        <v>11</v>
      </c>
      <c r="AC18" s="1" t="s">
        <v>142</v>
      </c>
      <c r="AD18">
        <v>7</v>
      </c>
      <c r="AE18">
        <v>11</v>
      </c>
      <c r="AF18" s="1" t="s">
        <v>180</v>
      </c>
      <c r="AG18">
        <v>4</v>
      </c>
      <c r="AH18">
        <v>8</v>
      </c>
      <c r="AI18" s="1" t="s">
        <v>147</v>
      </c>
      <c r="AJ18">
        <v>1</v>
      </c>
      <c r="AK18">
        <v>5</v>
      </c>
      <c r="AL18" s="1" t="s">
        <v>159</v>
      </c>
      <c r="AM18">
        <v>9</v>
      </c>
      <c r="AN18">
        <v>13</v>
      </c>
      <c r="AO18" s="1" t="s">
        <v>146</v>
      </c>
      <c r="AP18" s="1" t="s">
        <v>146</v>
      </c>
      <c r="AQ18" s="1" t="s">
        <v>146</v>
      </c>
      <c r="AS18" s="1" t="s">
        <v>146</v>
      </c>
      <c r="AT18" s="1" t="s">
        <v>146</v>
      </c>
      <c r="AV18" s="1" t="s">
        <v>146</v>
      </c>
      <c r="AY18" s="1" t="s">
        <v>146</v>
      </c>
      <c r="BB18" s="1" t="s">
        <v>146</v>
      </c>
      <c r="BE18" s="1" t="s">
        <v>146</v>
      </c>
      <c r="BH18" s="1" t="s">
        <v>146</v>
      </c>
      <c r="BK18" s="1" t="s">
        <v>146</v>
      </c>
      <c r="BN18" s="1" t="s">
        <v>146</v>
      </c>
      <c r="BQ18" s="1" t="s">
        <v>146</v>
      </c>
      <c r="BT18" s="1" t="s">
        <v>311</v>
      </c>
      <c r="BU18" s="1" t="s">
        <v>312</v>
      </c>
      <c r="BV18">
        <v>4491</v>
      </c>
      <c r="BW18">
        <v>2</v>
      </c>
      <c r="BX18" s="1" t="s">
        <v>313</v>
      </c>
      <c r="BY18" s="1" t="s">
        <v>314</v>
      </c>
      <c r="BZ18">
        <v>16000076</v>
      </c>
      <c r="CA18" s="1" t="s">
        <v>158</v>
      </c>
      <c r="CB18">
        <v>9</v>
      </c>
      <c r="CC18">
        <v>13</v>
      </c>
      <c r="CD18" s="1" t="s">
        <v>140</v>
      </c>
      <c r="CE18">
        <v>9</v>
      </c>
      <c r="CF18">
        <v>13</v>
      </c>
      <c r="CG18" s="1" t="s">
        <v>141</v>
      </c>
      <c r="CH18">
        <v>9</v>
      </c>
      <c r="CI18">
        <v>13</v>
      </c>
      <c r="CJ18" s="1" t="s">
        <v>165</v>
      </c>
      <c r="CK18">
        <v>1</v>
      </c>
      <c r="CL18">
        <v>5</v>
      </c>
      <c r="CM18" s="1" t="s">
        <v>142</v>
      </c>
      <c r="CN18">
        <v>7</v>
      </c>
      <c r="CO18">
        <v>11</v>
      </c>
      <c r="CP18" s="1" t="s">
        <v>168</v>
      </c>
      <c r="CQ18">
        <v>4</v>
      </c>
      <c r="CR18">
        <v>8</v>
      </c>
      <c r="CS18" s="1" t="s">
        <v>169</v>
      </c>
      <c r="CT18">
        <v>9</v>
      </c>
      <c r="CU18">
        <v>13</v>
      </c>
      <c r="CV18" s="1" t="s">
        <v>150</v>
      </c>
      <c r="CW18">
        <v>4</v>
      </c>
      <c r="CX18">
        <v>8</v>
      </c>
      <c r="CY18" s="1" t="s">
        <v>146</v>
      </c>
      <c r="CZ18" s="1" t="s">
        <v>146</v>
      </c>
      <c r="DA18" s="1" t="s">
        <v>146</v>
      </c>
      <c r="DC18" s="1" t="s">
        <v>146</v>
      </c>
      <c r="DD18" s="1" t="s">
        <v>146</v>
      </c>
      <c r="DF18" s="1" t="s">
        <v>146</v>
      </c>
      <c r="DI18" s="1" t="s">
        <v>146</v>
      </c>
      <c r="DL18" s="1" t="s">
        <v>146</v>
      </c>
      <c r="DO18" s="1" t="s">
        <v>146</v>
      </c>
      <c r="DR18" s="1" t="s">
        <v>146</v>
      </c>
      <c r="DU18" s="1" t="s">
        <v>146</v>
      </c>
      <c r="DX18" s="1" t="s">
        <v>146</v>
      </c>
      <c r="EA18" s="1" t="s">
        <v>146</v>
      </c>
      <c r="ED18">
        <f t="shared" si="0"/>
        <v>-1</v>
      </c>
      <c r="EE18">
        <f t="shared" si="1"/>
        <v>-1</v>
      </c>
      <c r="EF18" s="3">
        <f>ROUND(AVERAGE(VLOOKUP(Q18, E!A:B, 2, FALSE), VLOOKUP(T18, E!A:B, 2, FALSE), VLOOKUP(W18, E!A:B, 2, FALSE), VLOOKUP(Z18, E!A:B, 2, FALSE), VLOOKUP(AC18, E!A:B, 2, FALSE), VLOOKUP(AF18, E!A:B, 2, FALSE), VLOOKUP(AI18, E!A:B, 2, FALSE), VLOOKUP(AL18, E!A:B, 2, FALSE)), 1)</f>
        <v>3.4</v>
      </c>
      <c r="EG18" s="3">
        <f>ROUND(AVERAGE(VLOOKUP(CA18, E!A:B, 2, FALSE), VLOOKUP(CD18, E!A:B, 2, FALSE), VLOOKUP(CG18, E!A:B, 2, FALSE), VLOOKUP(CJ18, E!A:B, 2, FALSE), VLOOKUP(CM18, E!A:B, 2, FALSE), VLOOKUP(CP18, E!A:B, 2, FALSE), VLOOKUP(CS18, E!A:B, 2, FALSE), VLOOKUP(CV18, E!A:B, 2, FALSE)), 1)</f>
        <v>3.4</v>
      </c>
    </row>
    <row r="19" spans="1:137" x14ac:dyDescent="0.2">
      <c r="A19" s="1" t="s">
        <v>246</v>
      </c>
      <c r="B19" s="2">
        <v>43341.051585648151</v>
      </c>
      <c r="C19">
        <v>65000001</v>
      </c>
      <c r="D19">
        <v>54000024</v>
      </c>
      <c r="E19" s="1" t="s">
        <v>245</v>
      </c>
      <c r="F19">
        <v>72000010</v>
      </c>
      <c r="G19" s="1" t="s">
        <v>247</v>
      </c>
      <c r="H19">
        <v>4</v>
      </c>
      <c r="I19" s="1" t="s">
        <v>133</v>
      </c>
      <c r="J19" s="1" t="s">
        <v>134</v>
      </c>
      <c r="K19" s="1" t="s">
        <v>135</v>
      </c>
      <c r="L19">
        <v>3022</v>
      </c>
      <c r="M19">
        <v>1</v>
      </c>
      <c r="N19" s="1" t="s">
        <v>136</v>
      </c>
      <c r="O19" s="1" t="s">
        <v>137</v>
      </c>
      <c r="P19">
        <v>16000171</v>
      </c>
      <c r="Q19" s="1" t="s">
        <v>145</v>
      </c>
      <c r="R19">
        <v>9</v>
      </c>
      <c r="S19">
        <v>13</v>
      </c>
      <c r="T19" s="1" t="s">
        <v>140</v>
      </c>
      <c r="U19">
        <v>9</v>
      </c>
      <c r="V19">
        <v>13</v>
      </c>
      <c r="W19" s="1" t="s">
        <v>141</v>
      </c>
      <c r="X19">
        <v>9</v>
      </c>
      <c r="Y19">
        <v>13</v>
      </c>
      <c r="Z19" s="1" t="s">
        <v>139</v>
      </c>
      <c r="AA19">
        <v>6</v>
      </c>
      <c r="AB19">
        <v>11</v>
      </c>
      <c r="AC19" s="1" t="s">
        <v>142</v>
      </c>
      <c r="AD19">
        <v>7</v>
      </c>
      <c r="AE19">
        <v>11</v>
      </c>
      <c r="AF19" s="1" t="s">
        <v>180</v>
      </c>
      <c r="AG19">
        <v>4</v>
      </c>
      <c r="AH19">
        <v>8</v>
      </c>
      <c r="AI19" s="1" t="s">
        <v>147</v>
      </c>
      <c r="AJ19">
        <v>1</v>
      </c>
      <c r="AK19">
        <v>5</v>
      </c>
      <c r="AL19" s="1" t="s">
        <v>159</v>
      </c>
      <c r="AM19">
        <v>9</v>
      </c>
      <c r="AN19">
        <v>13</v>
      </c>
      <c r="AO19" s="1" t="s">
        <v>146</v>
      </c>
      <c r="AP19" s="1" t="s">
        <v>146</v>
      </c>
      <c r="AQ19" s="1" t="s">
        <v>146</v>
      </c>
      <c r="AS19" s="1" t="s">
        <v>146</v>
      </c>
      <c r="AT19" s="1" t="s">
        <v>146</v>
      </c>
      <c r="AV19" s="1" t="s">
        <v>146</v>
      </c>
      <c r="AY19" s="1" t="s">
        <v>146</v>
      </c>
      <c r="BB19" s="1" t="s">
        <v>146</v>
      </c>
      <c r="BE19" s="1" t="s">
        <v>146</v>
      </c>
      <c r="BH19" s="1" t="s">
        <v>146</v>
      </c>
      <c r="BK19" s="1" t="s">
        <v>146</v>
      </c>
      <c r="BN19" s="1" t="s">
        <v>146</v>
      </c>
      <c r="BQ19" s="1" t="s">
        <v>146</v>
      </c>
      <c r="BT19" s="1" t="s">
        <v>250</v>
      </c>
      <c r="BU19" s="1" t="s">
        <v>251</v>
      </c>
      <c r="BV19">
        <v>4753</v>
      </c>
      <c r="BW19">
        <v>2</v>
      </c>
      <c r="BX19" s="1" t="s">
        <v>252</v>
      </c>
      <c r="BY19" s="1" t="s">
        <v>253</v>
      </c>
      <c r="BZ19">
        <v>16000007</v>
      </c>
      <c r="CA19" s="1" t="s">
        <v>187</v>
      </c>
      <c r="CB19">
        <v>4</v>
      </c>
      <c r="CC19">
        <v>8</v>
      </c>
      <c r="CD19" s="1" t="s">
        <v>168</v>
      </c>
      <c r="CE19">
        <v>4</v>
      </c>
      <c r="CF19">
        <v>8</v>
      </c>
      <c r="CG19" s="1" t="s">
        <v>161</v>
      </c>
      <c r="CH19">
        <v>4</v>
      </c>
      <c r="CI19">
        <v>8</v>
      </c>
      <c r="CJ19" s="1" t="s">
        <v>167</v>
      </c>
      <c r="CK19">
        <v>9</v>
      </c>
      <c r="CL19">
        <v>13</v>
      </c>
      <c r="CM19" s="1" t="s">
        <v>138</v>
      </c>
      <c r="CN19">
        <v>4</v>
      </c>
      <c r="CO19">
        <v>8</v>
      </c>
      <c r="CP19" s="1" t="s">
        <v>194</v>
      </c>
      <c r="CQ19">
        <v>4</v>
      </c>
      <c r="CR19">
        <v>8</v>
      </c>
      <c r="CS19" s="1" t="s">
        <v>141</v>
      </c>
      <c r="CT19">
        <v>9</v>
      </c>
      <c r="CU19">
        <v>13</v>
      </c>
      <c r="CV19" s="1" t="s">
        <v>159</v>
      </c>
      <c r="CW19">
        <v>9</v>
      </c>
      <c r="CX19">
        <v>13</v>
      </c>
      <c r="CY19" s="1" t="s">
        <v>146</v>
      </c>
      <c r="CZ19" s="1" t="s">
        <v>146</v>
      </c>
      <c r="DA19" s="1" t="s">
        <v>146</v>
      </c>
      <c r="DC19" s="1" t="s">
        <v>146</v>
      </c>
      <c r="DD19" s="1" t="s">
        <v>146</v>
      </c>
      <c r="DF19" s="1" t="s">
        <v>146</v>
      </c>
      <c r="DI19" s="1" t="s">
        <v>146</v>
      </c>
      <c r="DL19" s="1" t="s">
        <v>146</v>
      </c>
      <c r="DO19" s="1" t="s">
        <v>146</v>
      </c>
      <c r="DR19" s="1" t="s">
        <v>146</v>
      </c>
      <c r="DU19" s="1" t="s">
        <v>146</v>
      </c>
      <c r="DX19" s="1" t="s">
        <v>146</v>
      </c>
      <c r="EA19" s="1" t="s">
        <v>146</v>
      </c>
      <c r="ED19">
        <f t="shared" si="0"/>
        <v>-1</v>
      </c>
      <c r="EE19">
        <f t="shared" si="1"/>
        <v>-1</v>
      </c>
      <c r="EF19" s="3">
        <f>ROUND(AVERAGE(VLOOKUP(Q19, E!A:B, 2, FALSE), VLOOKUP(T19, E!A:B, 2, FALSE), VLOOKUP(W19, E!A:B, 2, FALSE), VLOOKUP(Z19, E!A:B, 2, FALSE), VLOOKUP(AC19, E!A:B, 2, FALSE), VLOOKUP(AF19, E!A:B, 2, FALSE), VLOOKUP(AI19, E!A:B, 2, FALSE), VLOOKUP(AL19, E!A:B, 2, FALSE)), 1)</f>
        <v>3.4</v>
      </c>
      <c r="EG19" s="3">
        <f>ROUND(AVERAGE(VLOOKUP(CA19, E!A:B, 2, FALSE), VLOOKUP(CD19, E!A:B, 2, FALSE), VLOOKUP(CG19, E!A:B, 2, FALSE), VLOOKUP(CJ19, E!A:B, 2, FALSE), VLOOKUP(CM19, E!A:B, 2, FALSE), VLOOKUP(CP19, E!A:B, 2, FALSE), VLOOKUP(CS19, E!A:B, 2, FALSE), VLOOKUP(CV19, E!A:B, 2, FALSE)), 1)</f>
        <v>3.5</v>
      </c>
    </row>
    <row r="20" spans="1:137" x14ac:dyDescent="0.2">
      <c r="A20" s="1" t="s">
        <v>246</v>
      </c>
      <c r="B20" s="2">
        <v>43341.048645833333</v>
      </c>
      <c r="C20">
        <v>65000001</v>
      </c>
      <c r="D20">
        <v>54000011</v>
      </c>
      <c r="E20" s="1" t="s">
        <v>244</v>
      </c>
      <c r="F20">
        <v>72000010</v>
      </c>
      <c r="G20" s="1" t="s">
        <v>247</v>
      </c>
      <c r="H20">
        <v>4</v>
      </c>
      <c r="I20" s="1" t="s">
        <v>133</v>
      </c>
      <c r="J20" s="1" t="s">
        <v>134</v>
      </c>
      <c r="K20" s="1" t="s">
        <v>135</v>
      </c>
      <c r="L20">
        <v>3022</v>
      </c>
      <c r="M20">
        <v>0</v>
      </c>
      <c r="N20" s="1" t="s">
        <v>136</v>
      </c>
      <c r="O20" s="1" t="s">
        <v>137</v>
      </c>
      <c r="P20">
        <v>16000171</v>
      </c>
      <c r="Q20" s="1" t="s">
        <v>145</v>
      </c>
      <c r="R20">
        <v>9</v>
      </c>
      <c r="S20">
        <v>13</v>
      </c>
      <c r="T20" s="1" t="s">
        <v>140</v>
      </c>
      <c r="U20">
        <v>9</v>
      </c>
      <c r="V20">
        <v>13</v>
      </c>
      <c r="W20" s="1" t="s">
        <v>141</v>
      </c>
      <c r="X20">
        <v>9</v>
      </c>
      <c r="Y20">
        <v>13</v>
      </c>
      <c r="Z20" s="1" t="s">
        <v>139</v>
      </c>
      <c r="AA20">
        <v>6</v>
      </c>
      <c r="AB20">
        <v>11</v>
      </c>
      <c r="AC20" s="1" t="s">
        <v>142</v>
      </c>
      <c r="AD20">
        <v>7</v>
      </c>
      <c r="AE20">
        <v>11</v>
      </c>
      <c r="AF20" s="1" t="s">
        <v>180</v>
      </c>
      <c r="AG20">
        <v>4</v>
      </c>
      <c r="AH20">
        <v>8</v>
      </c>
      <c r="AI20" s="1" t="s">
        <v>147</v>
      </c>
      <c r="AJ20">
        <v>1</v>
      </c>
      <c r="AK20">
        <v>5</v>
      </c>
      <c r="AL20" s="1" t="s">
        <v>159</v>
      </c>
      <c r="AM20">
        <v>9</v>
      </c>
      <c r="AN20">
        <v>13</v>
      </c>
      <c r="AO20" s="1" t="s">
        <v>146</v>
      </c>
      <c r="AP20" s="1" t="s">
        <v>146</v>
      </c>
      <c r="AQ20" s="1" t="s">
        <v>146</v>
      </c>
      <c r="AS20" s="1" t="s">
        <v>146</v>
      </c>
      <c r="AT20" s="1" t="s">
        <v>146</v>
      </c>
      <c r="AV20" s="1" t="s">
        <v>146</v>
      </c>
      <c r="AY20" s="1" t="s">
        <v>146</v>
      </c>
      <c r="BB20" s="1" t="s">
        <v>146</v>
      </c>
      <c r="BE20" s="1" t="s">
        <v>146</v>
      </c>
      <c r="BH20" s="1" t="s">
        <v>146</v>
      </c>
      <c r="BK20" s="1" t="s">
        <v>146</v>
      </c>
      <c r="BN20" s="1" t="s">
        <v>146</v>
      </c>
      <c r="BQ20" s="1" t="s">
        <v>146</v>
      </c>
      <c r="BT20" s="1" t="s">
        <v>254</v>
      </c>
      <c r="BU20" s="1" t="s">
        <v>255</v>
      </c>
      <c r="BV20">
        <v>4772</v>
      </c>
      <c r="BW20">
        <v>1</v>
      </c>
      <c r="BX20" s="1" t="s">
        <v>256</v>
      </c>
      <c r="BY20" s="1" t="s">
        <v>257</v>
      </c>
      <c r="BZ20">
        <v>16000122</v>
      </c>
      <c r="CA20" s="1" t="s">
        <v>140</v>
      </c>
      <c r="CB20">
        <v>9</v>
      </c>
      <c r="CC20">
        <v>13</v>
      </c>
      <c r="CD20" s="1" t="s">
        <v>164</v>
      </c>
      <c r="CE20">
        <v>7</v>
      </c>
      <c r="CF20">
        <v>11</v>
      </c>
      <c r="CG20" s="1" t="s">
        <v>142</v>
      </c>
      <c r="CH20">
        <v>7</v>
      </c>
      <c r="CI20">
        <v>11</v>
      </c>
      <c r="CJ20" s="1" t="s">
        <v>163</v>
      </c>
      <c r="CK20">
        <v>7</v>
      </c>
      <c r="CL20">
        <v>11</v>
      </c>
      <c r="CM20" s="1" t="s">
        <v>201</v>
      </c>
      <c r="CN20">
        <v>7</v>
      </c>
      <c r="CO20">
        <v>11</v>
      </c>
      <c r="CP20" s="1" t="s">
        <v>224</v>
      </c>
      <c r="CQ20">
        <v>4</v>
      </c>
      <c r="CR20">
        <v>8</v>
      </c>
      <c r="CS20" s="1" t="s">
        <v>162</v>
      </c>
      <c r="CT20">
        <v>1</v>
      </c>
      <c r="CU20">
        <v>5</v>
      </c>
      <c r="CV20" s="1" t="s">
        <v>141</v>
      </c>
      <c r="CW20">
        <v>9</v>
      </c>
      <c r="CX20">
        <v>13</v>
      </c>
      <c r="CY20" s="1" t="s">
        <v>146</v>
      </c>
      <c r="CZ20" s="1" t="s">
        <v>146</v>
      </c>
      <c r="DA20" s="1" t="s">
        <v>146</v>
      </c>
      <c r="DC20" s="1" t="s">
        <v>146</v>
      </c>
      <c r="DD20" s="1" t="s">
        <v>146</v>
      </c>
      <c r="DF20" s="1" t="s">
        <v>146</v>
      </c>
      <c r="DI20" s="1" t="s">
        <v>146</v>
      </c>
      <c r="DL20" s="1" t="s">
        <v>146</v>
      </c>
      <c r="DO20" s="1" t="s">
        <v>146</v>
      </c>
      <c r="DR20" s="1" t="s">
        <v>146</v>
      </c>
      <c r="DU20" s="1" t="s">
        <v>146</v>
      </c>
      <c r="DX20" s="1" t="s">
        <v>146</v>
      </c>
      <c r="EA20" s="1" t="s">
        <v>146</v>
      </c>
      <c r="ED20">
        <f t="shared" si="0"/>
        <v>-1</v>
      </c>
      <c r="EE20">
        <f t="shared" si="1"/>
        <v>-1</v>
      </c>
      <c r="EF20" s="3">
        <f>ROUND(AVERAGE(VLOOKUP(Q20, E!A:B, 2, FALSE), VLOOKUP(T20, E!A:B, 2, FALSE), VLOOKUP(W20, E!A:B, 2, FALSE), VLOOKUP(Z20, E!A:B, 2, FALSE), VLOOKUP(AC20, E!A:B, 2, FALSE), VLOOKUP(AF20, E!A:B, 2, FALSE), VLOOKUP(AI20, E!A:B, 2, FALSE), VLOOKUP(AL20, E!A:B, 2, FALSE)), 1)</f>
        <v>3.4</v>
      </c>
      <c r="EG20" s="3">
        <f>ROUND(AVERAGE(VLOOKUP(CA20, E!A:B, 2, FALSE), VLOOKUP(CD20, E!A:B, 2, FALSE), VLOOKUP(CG20, E!A:B, 2, FALSE), VLOOKUP(CJ20, E!A:B, 2, FALSE), VLOOKUP(CM20, E!A:B, 2, FALSE), VLOOKUP(CP20, E!A:B, 2, FALSE), VLOOKUP(CS20, E!A:B, 2, FALSE), VLOOKUP(CV20, E!A:B, 2, FALSE)), 1)</f>
        <v>3.6</v>
      </c>
    </row>
    <row r="21" spans="1:137" x14ac:dyDescent="0.2">
      <c r="A21" s="1" t="s">
        <v>246</v>
      </c>
      <c r="B21" s="2">
        <v>43341.046331018515</v>
      </c>
      <c r="C21">
        <v>65000001</v>
      </c>
      <c r="D21">
        <v>54000001</v>
      </c>
      <c r="E21" s="1" t="s">
        <v>242</v>
      </c>
      <c r="F21">
        <v>72000010</v>
      </c>
      <c r="G21" s="1" t="s">
        <v>247</v>
      </c>
      <c r="H21">
        <v>3</v>
      </c>
      <c r="I21" s="1" t="s">
        <v>133</v>
      </c>
      <c r="J21" s="1" t="s">
        <v>134</v>
      </c>
      <c r="K21" s="1" t="s">
        <v>135</v>
      </c>
      <c r="L21">
        <v>3022</v>
      </c>
      <c r="M21">
        <v>2</v>
      </c>
      <c r="N21" s="1" t="s">
        <v>136</v>
      </c>
      <c r="O21" s="1" t="s">
        <v>137</v>
      </c>
      <c r="P21">
        <v>16000171</v>
      </c>
      <c r="Q21" s="1" t="s">
        <v>145</v>
      </c>
      <c r="R21">
        <v>9</v>
      </c>
      <c r="S21">
        <v>13</v>
      </c>
      <c r="T21" s="1" t="s">
        <v>140</v>
      </c>
      <c r="U21">
        <v>9</v>
      </c>
      <c r="V21">
        <v>13</v>
      </c>
      <c r="W21" s="1" t="s">
        <v>141</v>
      </c>
      <c r="X21">
        <v>9</v>
      </c>
      <c r="Y21">
        <v>13</v>
      </c>
      <c r="Z21" s="1" t="s">
        <v>139</v>
      </c>
      <c r="AA21">
        <v>6</v>
      </c>
      <c r="AB21">
        <v>11</v>
      </c>
      <c r="AC21" s="1" t="s">
        <v>142</v>
      </c>
      <c r="AD21">
        <v>7</v>
      </c>
      <c r="AE21">
        <v>11</v>
      </c>
      <c r="AF21" s="1" t="s">
        <v>180</v>
      </c>
      <c r="AG21">
        <v>4</v>
      </c>
      <c r="AH21">
        <v>8</v>
      </c>
      <c r="AI21" s="1" t="s">
        <v>147</v>
      </c>
      <c r="AJ21">
        <v>1</v>
      </c>
      <c r="AK21">
        <v>5</v>
      </c>
      <c r="AL21" s="1" t="s">
        <v>159</v>
      </c>
      <c r="AM21">
        <v>9</v>
      </c>
      <c r="AN21">
        <v>13</v>
      </c>
      <c r="AO21" s="1" t="s">
        <v>146</v>
      </c>
      <c r="AP21" s="1" t="s">
        <v>146</v>
      </c>
      <c r="AQ21" s="1" t="s">
        <v>146</v>
      </c>
      <c r="AS21" s="1" t="s">
        <v>146</v>
      </c>
      <c r="AT21" s="1" t="s">
        <v>146</v>
      </c>
      <c r="AV21" s="1" t="s">
        <v>146</v>
      </c>
      <c r="AY21" s="1" t="s">
        <v>146</v>
      </c>
      <c r="BB21" s="1" t="s">
        <v>146</v>
      </c>
      <c r="BE21" s="1" t="s">
        <v>146</v>
      </c>
      <c r="BH21" s="1" t="s">
        <v>146</v>
      </c>
      <c r="BK21" s="1" t="s">
        <v>146</v>
      </c>
      <c r="BN21" s="1" t="s">
        <v>146</v>
      </c>
      <c r="BQ21" s="1" t="s">
        <v>146</v>
      </c>
      <c r="BT21" s="1" t="s">
        <v>258</v>
      </c>
      <c r="BU21" s="1" t="s">
        <v>259</v>
      </c>
      <c r="BV21">
        <v>3162</v>
      </c>
      <c r="BW21">
        <v>1</v>
      </c>
      <c r="BX21" s="1" t="s">
        <v>260</v>
      </c>
      <c r="BY21" s="1" t="s">
        <v>261</v>
      </c>
      <c r="BZ21">
        <v>16000058</v>
      </c>
      <c r="CA21" s="1" t="s">
        <v>214</v>
      </c>
      <c r="CB21">
        <v>3</v>
      </c>
      <c r="CC21">
        <v>8</v>
      </c>
      <c r="CD21" s="1" t="s">
        <v>190</v>
      </c>
      <c r="CE21">
        <v>9</v>
      </c>
      <c r="CF21">
        <v>13</v>
      </c>
      <c r="CG21" s="1" t="s">
        <v>187</v>
      </c>
      <c r="CH21">
        <v>2</v>
      </c>
      <c r="CI21">
        <v>8</v>
      </c>
      <c r="CJ21" s="1" t="s">
        <v>207</v>
      </c>
      <c r="CK21">
        <v>9</v>
      </c>
      <c r="CL21">
        <v>13</v>
      </c>
      <c r="CM21" s="1" t="s">
        <v>197</v>
      </c>
      <c r="CN21">
        <v>2</v>
      </c>
      <c r="CO21">
        <v>8</v>
      </c>
      <c r="CP21" s="1" t="s">
        <v>193</v>
      </c>
      <c r="CQ21">
        <v>4</v>
      </c>
      <c r="CR21">
        <v>8</v>
      </c>
      <c r="CS21" s="1" t="s">
        <v>194</v>
      </c>
      <c r="CT21">
        <v>3</v>
      </c>
      <c r="CU21">
        <v>8</v>
      </c>
      <c r="CV21" s="1" t="s">
        <v>141</v>
      </c>
      <c r="CW21">
        <v>8</v>
      </c>
      <c r="CX21">
        <v>13</v>
      </c>
      <c r="CY21" s="1" t="s">
        <v>146</v>
      </c>
      <c r="CZ21" s="1" t="s">
        <v>146</v>
      </c>
      <c r="DA21" s="1" t="s">
        <v>146</v>
      </c>
      <c r="DC21" s="1" t="s">
        <v>146</v>
      </c>
      <c r="DD21" s="1" t="s">
        <v>146</v>
      </c>
      <c r="DF21" s="1" t="s">
        <v>146</v>
      </c>
      <c r="DI21" s="1" t="s">
        <v>146</v>
      </c>
      <c r="DL21" s="1" t="s">
        <v>146</v>
      </c>
      <c r="DO21" s="1" t="s">
        <v>146</v>
      </c>
      <c r="DR21" s="1" t="s">
        <v>146</v>
      </c>
      <c r="DU21" s="1" t="s">
        <v>146</v>
      </c>
      <c r="DX21" s="1" t="s">
        <v>146</v>
      </c>
      <c r="EA21" s="1" t="s">
        <v>146</v>
      </c>
      <c r="ED21">
        <f t="shared" si="0"/>
        <v>1</v>
      </c>
      <c r="EE21">
        <f t="shared" si="1"/>
        <v>1</v>
      </c>
      <c r="EF21" s="3">
        <f>ROUND(AVERAGE(VLOOKUP(Q21, E!A:B, 2, FALSE), VLOOKUP(T21, E!A:B, 2, FALSE), VLOOKUP(W21, E!A:B, 2, FALSE), VLOOKUP(Z21, E!A:B, 2, FALSE), VLOOKUP(AC21, E!A:B, 2, FALSE), VLOOKUP(AF21, E!A:B, 2, FALSE), VLOOKUP(AI21, E!A:B, 2, FALSE), VLOOKUP(AL21, E!A:B, 2, FALSE)), 1)</f>
        <v>3.4</v>
      </c>
      <c r="EG21" s="3">
        <f>ROUND(AVERAGE(VLOOKUP(CA21, E!A:B, 2, FALSE), VLOOKUP(CD21, E!A:B, 2, FALSE), VLOOKUP(CG21, E!A:B, 2, FALSE), VLOOKUP(CJ21, E!A:B, 2, FALSE), VLOOKUP(CM21, E!A:B, 2, FALSE), VLOOKUP(CP21, E!A:B, 2, FALSE), VLOOKUP(CS21, E!A:B, 2, FALSE), VLOOKUP(CV21, E!A:B, 2, FALSE)), 1)</f>
        <v>5.3</v>
      </c>
    </row>
    <row r="22" spans="1:137" x14ac:dyDescent="0.2">
      <c r="A22" s="1" t="s">
        <v>246</v>
      </c>
      <c r="B22" s="2">
        <v>43341.043437499997</v>
      </c>
      <c r="C22">
        <v>65000001</v>
      </c>
      <c r="D22">
        <v>54000007</v>
      </c>
      <c r="E22" s="1" t="s">
        <v>262</v>
      </c>
      <c r="F22">
        <v>72000010</v>
      </c>
      <c r="G22" s="1" t="s">
        <v>247</v>
      </c>
      <c r="H22">
        <v>3</v>
      </c>
      <c r="I22" s="1" t="s">
        <v>133</v>
      </c>
      <c r="J22" s="1" t="s">
        <v>134</v>
      </c>
      <c r="K22" s="1" t="s">
        <v>135</v>
      </c>
      <c r="L22">
        <v>3022</v>
      </c>
      <c r="M22">
        <v>0</v>
      </c>
      <c r="N22" s="1" t="s">
        <v>136</v>
      </c>
      <c r="O22" s="1" t="s">
        <v>137</v>
      </c>
      <c r="P22">
        <v>16000171</v>
      </c>
      <c r="Q22" s="1" t="s">
        <v>145</v>
      </c>
      <c r="R22">
        <v>9</v>
      </c>
      <c r="S22">
        <v>13</v>
      </c>
      <c r="T22" s="1" t="s">
        <v>140</v>
      </c>
      <c r="U22">
        <v>9</v>
      </c>
      <c r="V22">
        <v>13</v>
      </c>
      <c r="W22" s="1" t="s">
        <v>141</v>
      </c>
      <c r="X22">
        <v>9</v>
      </c>
      <c r="Y22">
        <v>13</v>
      </c>
      <c r="Z22" s="1" t="s">
        <v>139</v>
      </c>
      <c r="AA22">
        <v>6</v>
      </c>
      <c r="AB22">
        <v>11</v>
      </c>
      <c r="AC22" s="1" t="s">
        <v>142</v>
      </c>
      <c r="AD22">
        <v>7</v>
      </c>
      <c r="AE22">
        <v>11</v>
      </c>
      <c r="AF22" s="1" t="s">
        <v>180</v>
      </c>
      <c r="AG22">
        <v>4</v>
      </c>
      <c r="AH22">
        <v>8</v>
      </c>
      <c r="AI22" s="1" t="s">
        <v>147</v>
      </c>
      <c r="AJ22">
        <v>1</v>
      </c>
      <c r="AK22">
        <v>5</v>
      </c>
      <c r="AL22" s="1" t="s">
        <v>159</v>
      </c>
      <c r="AM22">
        <v>9</v>
      </c>
      <c r="AN22">
        <v>13</v>
      </c>
      <c r="AO22" s="1" t="s">
        <v>146</v>
      </c>
      <c r="AP22" s="1" t="s">
        <v>146</v>
      </c>
      <c r="AQ22" s="1" t="s">
        <v>146</v>
      </c>
      <c r="AS22" s="1" t="s">
        <v>146</v>
      </c>
      <c r="AT22" s="1" t="s">
        <v>146</v>
      </c>
      <c r="AV22" s="1" t="s">
        <v>146</v>
      </c>
      <c r="AY22" s="1" t="s">
        <v>146</v>
      </c>
      <c r="BB22" s="1" t="s">
        <v>146</v>
      </c>
      <c r="BE22" s="1" t="s">
        <v>146</v>
      </c>
      <c r="BH22" s="1" t="s">
        <v>146</v>
      </c>
      <c r="BK22" s="1" t="s">
        <v>146</v>
      </c>
      <c r="BN22" s="1" t="s">
        <v>146</v>
      </c>
      <c r="BQ22" s="1" t="s">
        <v>146</v>
      </c>
      <c r="BT22" s="1" t="s">
        <v>263</v>
      </c>
      <c r="BU22" s="1" t="s">
        <v>264</v>
      </c>
      <c r="BV22">
        <v>5024</v>
      </c>
      <c r="BW22">
        <v>1</v>
      </c>
      <c r="BX22" s="1" t="s">
        <v>265</v>
      </c>
      <c r="BY22" s="1" t="s">
        <v>266</v>
      </c>
      <c r="BZ22">
        <v>16000015</v>
      </c>
      <c r="CA22" s="1" t="s">
        <v>156</v>
      </c>
      <c r="CB22">
        <v>7</v>
      </c>
      <c r="CC22">
        <v>11</v>
      </c>
      <c r="CD22" s="1" t="s">
        <v>215</v>
      </c>
      <c r="CE22">
        <v>9</v>
      </c>
      <c r="CF22">
        <v>13</v>
      </c>
      <c r="CG22" s="1" t="s">
        <v>195</v>
      </c>
      <c r="CH22">
        <v>9</v>
      </c>
      <c r="CI22">
        <v>13</v>
      </c>
      <c r="CJ22" s="1" t="s">
        <v>162</v>
      </c>
      <c r="CK22">
        <v>1</v>
      </c>
      <c r="CL22">
        <v>5</v>
      </c>
      <c r="CM22" s="1" t="s">
        <v>149</v>
      </c>
      <c r="CN22">
        <v>7</v>
      </c>
      <c r="CO22">
        <v>11</v>
      </c>
      <c r="CP22" s="1" t="s">
        <v>211</v>
      </c>
      <c r="CQ22">
        <v>9</v>
      </c>
      <c r="CR22">
        <v>13</v>
      </c>
      <c r="CS22" s="1" t="s">
        <v>144</v>
      </c>
      <c r="CT22">
        <v>7</v>
      </c>
      <c r="CU22">
        <v>11</v>
      </c>
      <c r="CV22" s="1" t="s">
        <v>142</v>
      </c>
      <c r="CW22">
        <v>7</v>
      </c>
      <c r="CX22">
        <v>11</v>
      </c>
      <c r="CY22" s="1" t="s">
        <v>146</v>
      </c>
      <c r="CZ22" s="1" t="s">
        <v>146</v>
      </c>
      <c r="DA22" s="1" t="s">
        <v>146</v>
      </c>
      <c r="DC22" s="1" t="s">
        <v>146</v>
      </c>
      <c r="DD22" s="1" t="s">
        <v>146</v>
      </c>
      <c r="DF22" s="1" t="s">
        <v>146</v>
      </c>
      <c r="DI22" s="1" t="s">
        <v>146</v>
      </c>
      <c r="DL22" s="1" t="s">
        <v>146</v>
      </c>
      <c r="DO22" s="1" t="s">
        <v>146</v>
      </c>
      <c r="DR22" s="1" t="s">
        <v>146</v>
      </c>
      <c r="DU22" s="1" t="s">
        <v>146</v>
      </c>
      <c r="DX22" s="1" t="s">
        <v>146</v>
      </c>
      <c r="EA22" s="1" t="s">
        <v>146</v>
      </c>
      <c r="ED22">
        <f t="shared" si="0"/>
        <v>-1</v>
      </c>
      <c r="EE22">
        <f t="shared" si="1"/>
        <v>-1</v>
      </c>
      <c r="EF22" s="3">
        <f>ROUND(AVERAGE(VLOOKUP(Q22, E!A:B, 2, FALSE), VLOOKUP(T22, E!A:B, 2, FALSE), VLOOKUP(W22, E!A:B, 2, FALSE), VLOOKUP(Z22, E!A:B, 2, FALSE), VLOOKUP(AC22, E!A:B, 2, FALSE), VLOOKUP(AF22, E!A:B, 2, FALSE), VLOOKUP(AI22, E!A:B, 2, FALSE), VLOOKUP(AL22, E!A:B, 2, FALSE)), 1)</f>
        <v>3.4</v>
      </c>
      <c r="EG22" s="3">
        <f>ROUND(AVERAGE(VLOOKUP(CA22, E!A:B, 2, FALSE), VLOOKUP(CD22, E!A:B, 2, FALSE), VLOOKUP(CG22, E!A:B, 2, FALSE), VLOOKUP(CJ22, E!A:B, 2, FALSE), VLOOKUP(CM22, E!A:B, 2, FALSE), VLOOKUP(CP22, E!A:B, 2, FALSE), VLOOKUP(CS22, E!A:B, 2, FALSE), VLOOKUP(CV22, E!A:B, 2, FALSE)), 1)</f>
        <v>2.6</v>
      </c>
    </row>
    <row r="23" spans="1:137" x14ac:dyDescent="0.2">
      <c r="A23" s="1" t="s">
        <v>246</v>
      </c>
      <c r="B23" s="2">
        <v>43341.040636574071</v>
      </c>
      <c r="C23">
        <v>65000001</v>
      </c>
      <c r="D23">
        <v>54000007</v>
      </c>
      <c r="E23" s="1" t="s">
        <v>262</v>
      </c>
      <c r="F23">
        <v>72000010</v>
      </c>
      <c r="G23" s="1" t="s">
        <v>247</v>
      </c>
      <c r="H23">
        <v>2</v>
      </c>
      <c r="I23" s="1" t="s">
        <v>133</v>
      </c>
      <c r="J23" s="1" t="s">
        <v>134</v>
      </c>
      <c r="K23" s="1" t="s">
        <v>135</v>
      </c>
      <c r="L23">
        <v>3022</v>
      </c>
      <c r="M23">
        <v>3</v>
      </c>
      <c r="N23" s="1" t="s">
        <v>136</v>
      </c>
      <c r="O23" s="1" t="s">
        <v>137</v>
      </c>
      <c r="P23">
        <v>16000171</v>
      </c>
      <c r="Q23" s="1" t="s">
        <v>145</v>
      </c>
      <c r="R23">
        <v>9</v>
      </c>
      <c r="S23">
        <v>13</v>
      </c>
      <c r="T23" s="1" t="s">
        <v>140</v>
      </c>
      <c r="U23">
        <v>9</v>
      </c>
      <c r="V23">
        <v>13</v>
      </c>
      <c r="W23" s="1" t="s">
        <v>141</v>
      </c>
      <c r="X23">
        <v>9</v>
      </c>
      <c r="Y23">
        <v>13</v>
      </c>
      <c r="Z23" s="1" t="s">
        <v>139</v>
      </c>
      <c r="AA23">
        <v>6</v>
      </c>
      <c r="AB23">
        <v>11</v>
      </c>
      <c r="AC23" s="1" t="s">
        <v>142</v>
      </c>
      <c r="AD23">
        <v>7</v>
      </c>
      <c r="AE23">
        <v>11</v>
      </c>
      <c r="AF23" s="1" t="s">
        <v>180</v>
      </c>
      <c r="AG23">
        <v>4</v>
      </c>
      <c r="AH23">
        <v>8</v>
      </c>
      <c r="AI23" s="1" t="s">
        <v>147</v>
      </c>
      <c r="AJ23">
        <v>1</v>
      </c>
      <c r="AK23">
        <v>5</v>
      </c>
      <c r="AL23" s="1" t="s">
        <v>159</v>
      </c>
      <c r="AM23">
        <v>9</v>
      </c>
      <c r="AN23">
        <v>13</v>
      </c>
      <c r="AO23" s="1" t="s">
        <v>146</v>
      </c>
      <c r="AP23" s="1" t="s">
        <v>146</v>
      </c>
      <c r="AQ23" s="1" t="s">
        <v>146</v>
      </c>
      <c r="AS23" s="1" t="s">
        <v>146</v>
      </c>
      <c r="AT23" s="1" t="s">
        <v>146</v>
      </c>
      <c r="AV23" s="1" t="s">
        <v>146</v>
      </c>
      <c r="AY23" s="1" t="s">
        <v>146</v>
      </c>
      <c r="BB23" s="1" t="s">
        <v>146</v>
      </c>
      <c r="BE23" s="1" t="s">
        <v>146</v>
      </c>
      <c r="BH23" s="1" t="s">
        <v>146</v>
      </c>
      <c r="BK23" s="1" t="s">
        <v>146</v>
      </c>
      <c r="BN23" s="1" t="s">
        <v>146</v>
      </c>
      <c r="BQ23" s="1" t="s">
        <v>146</v>
      </c>
      <c r="BT23" s="1" t="s">
        <v>267</v>
      </c>
      <c r="BU23" s="1" t="s">
        <v>268</v>
      </c>
      <c r="BV23">
        <v>3418</v>
      </c>
      <c r="BW23">
        <v>0</v>
      </c>
      <c r="BX23" s="1" t="s">
        <v>269</v>
      </c>
      <c r="BY23" s="1" t="s">
        <v>270</v>
      </c>
      <c r="BZ23">
        <v>16000121</v>
      </c>
      <c r="CA23" s="1" t="s">
        <v>165</v>
      </c>
      <c r="CB23">
        <v>1</v>
      </c>
      <c r="CC23">
        <v>5</v>
      </c>
      <c r="CD23" s="1" t="s">
        <v>200</v>
      </c>
      <c r="CE23">
        <v>1</v>
      </c>
      <c r="CF23">
        <v>5</v>
      </c>
      <c r="CG23" s="1" t="s">
        <v>162</v>
      </c>
      <c r="CH23">
        <v>1</v>
      </c>
      <c r="CI23">
        <v>5</v>
      </c>
      <c r="CJ23" s="1" t="s">
        <v>158</v>
      </c>
      <c r="CK23">
        <v>9</v>
      </c>
      <c r="CL23">
        <v>13</v>
      </c>
      <c r="CM23" s="1" t="s">
        <v>228</v>
      </c>
      <c r="CN23">
        <v>3</v>
      </c>
      <c r="CO23">
        <v>8</v>
      </c>
      <c r="CP23" s="1" t="s">
        <v>157</v>
      </c>
      <c r="CQ23">
        <v>7</v>
      </c>
      <c r="CR23">
        <v>11</v>
      </c>
      <c r="CS23" s="1" t="s">
        <v>149</v>
      </c>
      <c r="CT23">
        <v>7</v>
      </c>
      <c r="CU23">
        <v>11</v>
      </c>
      <c r="CV23" s="1" t="s">
        <v>161</v>
      </c>
      <c r="CW23">
        <v>4</v>
      </c>
      <c r="CX23">
        <v>8</v>
      </c>
      <c r="CY23" s="1" t="s">
        <v>146</v>
      </c>
      <c r="CZ23" s="1" t="s">
        <v>146</v>
      </c>
      <c r="DA23" s="1" t="s">
        <v>146</v>
      </c>
      <c r="DC23" s="1" t="s">
        <v>146</v>
      </c>
      <c r="DD23" s="1" t="s">
        <v>146</v>
      </c>
      <c r="DF23" s="1" t="s">
        <v>146</v>
      </c>
      <c r="DI23" s="1" t="s">
        <v>146</v>
      </c>
      <c r="DL23" s="1" t="s">
        <v>146</v>
      </c>
      <c r="DO23" s="1" t="s">
        <v>146</v>
      </c>
      <c r="DR23" s="1" t="s">
        <v>146</v>
      </c>
      <c r="DU23" s="1" t="s">
        <v>146</v>
      </c>
      <c r="DX23" s="1" t="s">
        <v>146</v>
      </c>
      <c r="EA23" s="1" t="s">
        <v>146</v>
      </c>
      <c r="ED23">
        <f t="shared" si="0"/>
        <v>3</v>
      </c>
      <c r="EE23">
        <f t="shared" si="1"/>
        <v>1</v>
      </c>
      <c r="EF23" s="3">
        <f>ROUND(AVERAGE(VLOOKUP(Q23, E!A:B, 2, FALSE), VLOOKUP(T23, E!A:B, 2, FALSE), VLOOKUP(W23, E!A:B, 2, FALSE), VLOOKUP(Z23, E!A:B, 2, FALSE), VLOOKUP(AC23, E!A:B, 2, FALSE), VLOOKUP(AF23, E!A:B, 2, FALSE), VLOOKUP(AI23, E!A:B, 2, FALSE), VLOOKUP(AL23, E!A:B, 2, FALSE)), 1)</f>
        <v>3.4</v>
      </c>
      <c r="EG23" s="3">
        <f>ROUND(AVERAGE(VLOOKUP(CA23, E!A:B, 2, FALSE), VLOOKUP(CD23, E!A:B, 2, FALSE), VLOOKUP(CG23, E!A:B, 2, FALSE), VLOOKUP(CJ23, E!A:B, 2, FALSE), VLOOKUP(CM23, E!A:B, 2, FALSE), VLOOKUP(CP23, E!A:B, 2, FALSE), VLOOKUP(CS23, E!A:B, 2, FALSE), VLOOKUP(CV23, E!A:B, 2, FALSE)), 1)</f>
        <v>3.4</v>
      </c>
    </row>
    <row r="24" spans="1:137" x14ac:dyDescent="0.2">
      <c r="A24" s="1" t="s">
        <v>246</v>
      </c>
      <c r="B24" s="2">
        <v>43341.039050925923</v>
      </c>
      <c r="C24">
        <v>65000001</v>
      </c>
      <c r="D24">
        <v>54000005</v>
      </c>
      <c r="E24" s="1" t="s">
        <v>243</v>
      </c>
      <c r="F24">
        <v>72000010</v>
      </c>
      <c r="G24" s="1" t="s">
        <v>247</v>
      </c>
      <c r="H24">
        <v>1</v>
      </c>
      <c r="I24" s="1" t="s">
        <v>133</v>
      </c>
      <c r="J24" s="1" t="s">
        <v>134</v>
      </c>
      <c r="K24" s="1" t="s">
        <v>135</v>
      </c>
      <c r="L24">
        <v>3022</v>
      </c>
      <c r="M24">
        <v>2</v>
      </c>
      <c r="N24" s="1" t="s">
        <v>136</v>
      </c>
      <c r="O24" s="1" t="s">
        <v>137</v>
      </c>
      <c r="P24">
        <v>16000171</v>
      </c>
      <c r="Q24" s="1" t="s">
        <v>145</v>
      </c>
      <c r="R24">
        <v>9</v>
      </c>
      <c r="S24">
        <v>13</v>
      </c>
      <c r="T24" s="1" t="s">
        <v>140</v>
      </c>
      <c r="U24">
        <v>9</v>
      </c>
      <c r="V24">
        <v>13</v>
      </c>
      <c r="W24" s="1" t="s">
        <v>141</v>
      </c>
      <c r="X24">
        <v>9</v>
      </c>
      <c r="Y24">
        <v>13</v>
      </c>
      <c r="Z24" s="1" t="s">
        <v>139</v>
      </c>
      <c r="AA24">
        <v>6</v>
      </c>
      <c r="AB24">
        <v>11</v>
      </c>
      <c r="AC24" s="1" t="s">
        <v>142</v>
      </c>
      <c r="AD24">
        <v>7</v>
      </c>
      <c r="AE24">
        <v>11</v>
      </c>
      <c r="AF24" s="1" t="s">
        <v>180</v>
      </c>
      <c r="AG24">
        <v>4</v>
      </c>
      <c r="AH24">
        <v>8</v>
      </c>
      <c r="AI24" s="1" t="s">
        <v>147</v>
      </c>
      <c r="AJ24">
        <v>1</v>
      </c>
      <c r="AK24">
        <v>5</v>
      </c>
      <c r="AL24" s="1" t="s">
        <v>159</v>
      </c>
      <c r="AM24">
        <v>9</v>
      </c>
      <c r="AN24">
        <v>13</v>
      </c>
      <c r="AO24" s="1" t="s">
        <v>146</v>
      </c>
      <c r="AP24" s="1" t="s">
        <v>146</v>
      </c>
      <c r="AQ24" s="1" t="s">
        <v>146</v>
      </c>
      <c r="AS24" s="1" t="s">
        <v>146</v>
      </c>
      <c r="AT24" s="1" t="s">
        <v>146</v>
      </c>
      <c r="AV24" s="1" t="s">
        <v>146</v>
      </c>
      <c r="AY24" s="1" t="s">
        <v>146</v>
      </c>
      <c r="BB24" s="1" t="s">
        <v>146</v>
      </c>
      <c r="BE24" s="1" t="s">
        <v>146</v>
      </c>
      <c r="BH24" s="1" t="s">
        <v>146</v>
      </c>
      <c r="BK24" s="1" t="s">
        <v>146</v>
      </c>
      <c r="BN24" s="1" t="s">
        <v>146</v>
      </c>
      <c r="BQ24" s="1" t="s">
        <v>146</v>
      </c>
      <c r="BT24" s="1" t="s">
        <v>271</v>
      </c>
      <c r="BU24" s="1" t="s">
        <v>272</v>
      </c>
      <c r="BV24">
        <v>2829</v>
      </c>
      <c r="BW24">
        <v>1</v>
      </c>
      <c r="BX24" s="1" t="s">
        <v>273</v>
      </c>
      <c r="BY24" s="1" t="s">
        <v>274</v>
      </c>
      <c r="BZ24">
        <v>16000029</v>
      </c>
      <c r="CA24" s="1" t="s">
        <v>225</v>
      </c>
      <c r="CB24">
        <v>9</v>
      </c>
      <c r="CC24">
        <v>13</v>
      </c>
      <c r="CD24" s="1" t="s">
        <v>205</v>
      </c>
      <c r="CE24">
        <v>7</v>
      </c>
      <c r="CF24">
        <v>11</v>
      </c>
      <c r="CG24" s="1" t="s">
        <v>190</v>
      </c>
      <c r="CH24">
        <v>9</v>
      </c>
      <c r="CI24">
        <v>13</v>
      </c>
      <c r="CJ24" s="1" t="s">
        <v>179</v>
      </c>
      <c r="CK24">
        <v>8</v>
      </c>
      <c r="CL24">
        <v>13</v>
      </c>
      <c r="CM24" s="1" t="s">
        <v>181</v>
      </c>
      <c r="CN24">
        <v>4</v>
      </c>
      <c r="CO24">
        <v>8</v>
      </c>
      <c r="CP24" s="1" t="s">
        <v>175</v>
      </c>
      <c r="CQ24">
        <v>1</v>
      </c>
      <c r="CR24">
        <v>5</v>
      </c>
      <c r="CS24" s="1" t="s">
        <v>186</v>
      </c>
      <c r="CT24">
        <v>7</v>
      </c>
      <c r="CU24">
        <v>11</v>
      </c>
      <c r="CV24" s="1" t="s">
        <v>167</v>
      </c>
      <c r="CW24">
        <v>9</v>
      </c>
      <c r="CX24">
        <v>13</v>
      </c>
      <c r="CY24" s="1" t="s">
        <v>146</v>
      </c>
      <c r="CZ24" s="1" t="s">
        <v>146</v>
      </c>
      <c r="DA24" s="1" t="s">
        <v>146</v>
      </c>
      <c r="DC24" s="1" t="s">
        <v>146</v>
      </c>
      <c r="DD24" s="1" t="s">
        <v>146</v>
      </c>
      <c r="DF24" s="1" t="s">
        <v>146</v>
      </c>
      <c r="DI24" s="1" t="s">
        <v>146</v>
      </c>
      <c r="DL24" s="1" t="s">
        <v>146</v>
      </c>
      <c r="DO24" s="1" t="s">
        <v>146</v>
      </c>
      <c r="DR24" s="1" t="s">
        <v>146</v>
      </c>
      <c r="DU24" s="1" t="s">
        <v>146</v>
      </c>
      <c r="DX24" s="1" t="s">
        <v>146</v>
      </c>
      <c r="EA24" s="1" t="s">
        <v>146</v>
      </c>
      <c r="ED24">
        <f t="shared" si="0"/>
        <v>1</v>
      </c>
      <c r="EE24">
        <f t="shared" si="1"/>
        <v>1</v>
      </c>
      <c r="EF24" s="3">
        <f>ROUND(AVERAGE(VLOOKUP(Q24, E!A:B, 2, FALSE), VLOOKUP(T24, E!A:B, 2, FALSE), VLOOKUP(W24, E!A:B, 2, FALSE), VLOOKUP(Z24, E!A:B, 2, FALSE), VLOOKUP(AC24, E!A:B, 2, FALSE), VLOOKUP(AF24, E!A:B, 2, FALSE), VLOOKUP(AI24, E!A:B, 2, FALSE), VLOOKUP(AL24, E!A:B, 2, FALSE)), 1)</f>
        <v>3.4</v>
      </c>
      <c r="EG24" s="3">
        <f>ROUND(AVERAGE(VLOOKUP(CA24, E!A:B, 2, FALSE), VLOOKUP(CD24, E!A:B, 2, FALSE), VLOOKUP(CG24, E!A:B, 2, FALSE), VLOOKUP(CJ24, E!A:B, 2, FALSE), VLOOKUP(CM24, E!A:B, 2, FALSE), VLOOKUP(CP24, E!A:B, 2, FALSE), VLOOKUP(CS24, E!A:B, 2, FALSE), VLOOKUP(CV24, E!A:B, 2, FALSE)), 1)</f>
        <v>4.9000000000000004</v>
      </c>
    </row>
    <row r="25" spans="1:137" x14ac:dyDescent="0.2">
      <c r="A25" s="1" t="s">
        <v>246</v>
      </c>
      <c r="B25" s="2">
        <v>43341.036724537036</v>
      </c>
      <c r="C25">
        <v>65000001</v>
      </c>
      <c r="D25">
        <v>54000001</v>
      </c>
      <c r="E25" s="1" t="s">
        <v>242</v>
      </c>
      <c r="F25">
        <v>72000010</v>
      </c>
      <c r="G25" s="1" t="s">
        <v>247</v>
      </c>
      <c r="H25">
        <v>0</v>
      </c>
      <c r="I25" s="1" t="s">
        <v>133</v>
      </c>
      <c r="J25" s="1" t="s">
        <v>134</v>
      </c>
      <c r="K25" s="1" t="s">
        <v>135</v>
      </c>
      <c r="L25">
        <v>3022</v>
      </c>
      <c r="M25">
        <v>1</v>
      </c>
      <c r="N25" s="1" t="s">
        <v>136</v>
      </c>
      <c r="O25" s="1" t="s">
        <v>137</v>
      </c>
      <c r="P25">
        <v>16000171</v>
      </c>
      <c r="Q25" s="1" t="s">
        <v>145</v>
      </c>
      <c r="R25">
        <v>9</v>
      </c>
      <c r="S25">
        <v>13</v>
      </c>
      <c r="T25" s="1" t="s">
        <v>140</v>
      </c>
      <c r="U25">
        <v>9</v>
      </c>
      <c r="V25">
        <v>13</v>
      </c>
      <c r="W25" s="1" t="s">
        <v>141</v>
      </c>
      <c r="X25">
        <v>9</v>
      </c>
      <c r="Y25">
        <v>13</v>
      </c>
      <c r="Z25" s="1" t="s">
        <v>139</v>
      </c>
      <c r="AA25">
        <v>6</v>
      </c>
      <c r="AB25">
        <v>11</v>
      </c>
      <c r="AC25" s="1" t="s">
        <v>142</v>
      </c>
      <c r="AD25">
        <v>7</v>
      </c>
      <c r="AE25">
        <v>11</v>
      </c>
      <c r="AF25" s="1" t="s">
        <v>180</v>
      </c>
      <c r="AG25">
        <v>4</v>
      </c>
      <c r="AH25">
        <v>8</v>
      </c>
      <c r="AI25" s="1" t="s">
        <v>147</v>
      </c>
      <c r="AJ25">
        <v>1</v>
      </c>
      <c r="AK25">
        <v>5</v>
      </c>
      <c r="AL25" s="1" t="s">
        <v>159</v>
      </c>
      <c r="AM25">
        <v>9</v>
      </c>
      <c r="AN25">
        <v>13</v>
      </c>
      <c r="AO25" s="1" t="s">
        <v>146</v>
      </c>
      <c r="AP25" s="1" t="s">
        <v>146</v>
      </c>
      <c r="AQ25" s="1" t="s">
        <v>146</v>
      </c>
      <c r="AS25" s="1" t="s">
        <v>146</v>
      </c>
      <c r="AT25" s="1" t="s">
        <v>146</v>
      </c>
      <c r="AV25" s="1" t="s">
        <v>146</v>
      </c>
      <c r="AY25" s="1" t="s">
        <v>146</v>
      </c>
      <c r="BB25" s="1" t="s">
        <v>146</v>
      </c>
      <c r="BE25" s="1" t="s">
        <v>146</v>
      </c>
      <c r="BH25" s="1" t="s">
        <v>146</v>
      </c>
      <c r="BK25" s="1" t="s">
        <v>146</v>
      </c>
      <c r="BN25" s="1" t="s">
        <v>146</v>
      </c>
      <c r="BQ25" s="1" t="s">
        <v>146</v>
      </c>
      <c r="BT25" s="1" t="s">
        <v>275</v>
      </c>
      <c r="BU25" s="1" t="s">
        <v>276</v>
      </c>
      <c r="BV25">
        <v>3028</v>
      </c>
      <c r="BW25">
        <v>0</v>
      </c>
      <c r="BX25" s="1" t="s">
        <v>277</v>
      </c>
      <c r="BY25" s="1" t="s">
        <v>278</v>
      </c>
      <c r="BZ25">
        <v>16000027</v>
      </c>
      <c r="CA25" s="1" t="s">
        <v>194</v>
      </c>
      <c r="CB25">
        <v>4</v>
      </c>
      <c r="CC25">
        <v>8</v>
      </c>
      <c r="CD25" s="1" t="s">
        <v>187</v>
      </c>
      <c r="CE25">
        <v>4</v>
      </c>
      <c r="CF25">
        <v>8</v>
      </c>
      <c r="CG25" s="1" t="s">
        <v>193</v>
      </c>
      <c r="CH25">
        <v>4</v>
      </c>
      <c r="CI25">
        <v>8</v>
      </c>
      <c r="CJ25" s="1" t="s">
        <v>150</v>
      </c>
      <c r="CK25">
        <v>4</v>
      </c>
      <c r="CL25">
        <v>8</v>
      </c>
      <c r="CM25" s="1" t="s">
        <v>157</v>
      </c>
      <c r="CN25">
        <v>7</v>
      </c>
      <c r="CO25">
        <v>11</v>
      </c>
      <c r="CP25" s="1" t="s">
        <v>199</v>
      </c>
      <c r="CQ25">
        <v>3</v>
      </c>
      <c r="CR25">
        <v>8</v>
      </c>
      <c r="CS25" s="1" t="s">
        <v>186</v>
      </c>
      <c r="CT25">
        <v>6</v>
      </c>
      <c r="CU25">
        <v>11</v>
      </c>
      <c r="CV25" s="1" t="s">
        <v>168</v>
      </c>
      <c r="CW25">
        <v>3</v>
      </c>
      <c r="CX25">
        <v>8</v>
      </c>
      <c r="CY25" s="1" t="s">
        <v>146</v>
      </c>
      <c r="CZ25" s="1" t="s">
        <v>146</v>
      </c>
      <c r="DA25" s="1" t="s">
        <v>146</v>
      </c>
      <c r="DC25" s="1" t="s">
        <v>146</v>
      </c>
      <c r="DD25" s="1" t="s">
        <v>146</v>
      </c>
      <c r="DF25" s="1" t="s">
        <v>146</v>
      </c>
      <c r="DI25" s="1" t="s">
        <v>146</v>
      </c>
      <c r="DL25" s="1" t="s">
        <v>146</v>
      </c>
      <c r="DO25" s="1" t="s">
        <v>146</v>
      </c>
      <c r="DR25" s="1" t="s">
        <v>146</v>
      </c>
      <c r="DU25" s="1" t="s">
        <v>146</v>
      </c>
      <c r="DX25" s="1" t="s">
        <v>146</v>
      </c>
      <c r="EA25" s="1" t="s">
        <v>146</v>
      </c>
      <c r="ED25">
        <f t="shared" si="0"/>
        <v>1</v>
      </c>
      <c r="EE25">
        <f t="shared" si="1"/>
        <v>1</v>
      </c>
      <c r="EF25" s="3">
        <f>ROUND(AVERAGE(VLOOKUP(Q25, E!A:B, 2, FALSE), VLOOKUP(T25, E!A:B, 2, FALSE), VLOOKUP(W25, E!A:B, 2, FALSE), VLOOKUP(Z25, E!A:B, 2, FALSE), VLOOKUP(AC25, E!A:B, 2, FALSE), VLOOKUP(AF25, E!A:B, 2, FALSE), VLOOKUP(AI25, E!A:B, 2, FALSE), VLOOKUP(AL25, E!A:B, 2, FALSE)), 1)</f>
        <v>3.4</v>
      </c>
      <c r="EG25" s="3">
        <f>ROUND(AVERAGE(VLOOKUP(CA25, E!A:B, 2, FALSE), VLOOKUP(CD25, E!A:B, 2, FALSE), VLOOKUP(CG25, E!A:B, 2, FALSE), VLOOKUP(CJ25, E!A:B, 2, FALSE), VLOOKUP(CM25, E!A:B, 2, FALSE), VLOOKUP(CP25, E!A:B, 2, FALSE), VLOOKUP(CS25, E!A:B, 2, FALSE), VLOOKUP(CV25, E!A:B, 2, FALSE)), 1)</f>
        <v>4.4000000000000004</v>
      </c>
    </row>
    <row r="26" spans="1:137" x14ac:dyDescent="0.2">
      <c r="A26" s="1" t="s">
        <v>171</v>
      </c>
      <c r="B26" s="2">
        <v>43341.031909722224</v>
      </c>
      <c r="D26">
        <v>54000024</v>
      </c>
      <c r="E26" s="1" t="s">
        <v>245</v>
      </c>
      <c r="F26">
        <v>72000023</v>
      </c>
      <c r="G26" s="1" t="s">
        <v>172</v>
      </c>
      <c r="I26" s="1" t="s">
        <v>133</v>
      </c>
      <c r="J26" s="1" t="s">
        <v>279</v>
      </c>
      <c r="K26" s="1" t="s">
        <v>280</v>
      </c>
      <c r="M26">
        <v>1</v>
      </c>
      <c r="N26" s="1" t="s">
        <v>281</v>
      </c>
      <c r="O26" s="1" t="s">
        <v>282</v>
      </c>
      <c r="P26">
        <v>16000147</v>
      </c>
      <c r="Q26" s="1" t="s">
        <v>227</v>
      </c>
      <c r="R26">
        <v>10</v>
      </c>
      <c r="S26">
        <v>13</v>
      </c>
      <c r="T26" s="1" t="s">
        <v>153</v>
      </c>
      <c r="U26">
        <v>6</v>
      </c>
      <c r="V26">
        <v>8</v>
      </c>
      <c r="W26" s="1" t="s">
        <v>201</v>
      </c>
      <c r="X26">
        <v>6</v>
      </c>
      <c r="Y26">
        <v>11</v>
      </c>
      <c r="Z26" s="1" t="s">
        <v>165</v>
      </c>
      <c r="AA26">
        <v>2</v>
      </c>
      <c r="AB26">
        <v>5</v>
      </c>
      <c r="AC26" s="1" t="s">
        <v>181</v>
      </c>
      <c r="AD26">
        <v>5</v>
      </c>
      <c r="AE26">
        <v>8</v>
      </c>
      <c r="AF26" s="1" t="s">
        <v>175</v>
      </c>
      <c r="AG26">
        <v>2</v>
      </c>
      <c r="AH26">
        <v>5</v>
      </c>
      <c r="AI26" s="1" t="s">
        <v>202</v>
      </c>
      <c r="AJ26">
        <v>8</v>
      </c>
      <c r="AK26">
        <v>11</v>
      </c>
      <c r="AL26" s="1" t="s">
        <v>184</v>
      </c>
      <c r="AM26">
        <v>2</v>
      </c>
      <c r="AN26">
        <v>5</v>
      </c>
      <c r="AO26" s="1" t="s">
        <v>134</v>
      </c>
      <c r="AP26" s="1" t="s">
        <v>135</v>
      </c>
      <c r="AQ26" s="1" t="s">
        <v>146</v>
      </c>
      <c r="AR26">
        <v>1</v>
      </c>
      <c r="AS26" s="1" t="s">
        <v>136</v>
      </c>
      <c r="AT26" s="1" t="s">
        <v>137</v>
      </c>
      <c r="AU26">
        <v>16000171</v>
      </c>
      <c r="AV26" s="1" t="s">
        <v>145</v>
      </c>
      <c r="AW26">
        <v>9</v>
      </c>
      <c r="AX26">
        <v>13</v>
      </c>
      <c r="AY26" s="1" t="s">
        <v>140</v>
      </c>
      <c r="AZ26">
        <v>10</v>
      </c>
      <c r="BA26">
        <v>13</v>
      </c>
      <c r="BB26" s="1" t="s">
        <v>141</v>
      </c>
      <c r="BC26">
        <v>10</v>
      </c>
      <c r="BD26">
        <v>13</v>
      </c>
      <c r="BE26" s="1" t="s">
        <v>139</v>
      </c>
      <c r="BF26">
        <v>6</v>
      </c>
      <c r="BG26">
        <v>11</v>
      </c>
      <c r="BH26" s="1" t="s">
        <v>142</v>
      </c>
      <c r="BI26">
        <v>7</v>
      </c>
      <c r="BJ26">
        <v>11</v>
      </c>
      <c r="BK26" s="1" t="s">
        <v>180</v>
      </c>
      <c r="BL26">
        <v>5</v>
      </c>
      <c r="BM26">
        <v>8</v>
      </c>
      <c r="BN26" s="1" t="s">
        <v>147</v>
      </c>
      <c r="BO26">
        <v>1</v>
      </c>
      <c r="BP26">
        <v>5</v>
      </c>
      <c r="BQ26" s="1" t="s">
        <v>159</v>
      </c>
      <c r="BR26">
        <v>9</v>
      </c>
      <c r="BS26">
        <v>13</v>
      </c>
      <c r="BT26" s="1" t="s">
        <v>283</v>
      </c>
      <c r="BU26" s="1" t="s">
        <v>284</v>
      </c>
      <c r="BW26">
        <v>0</v>
      </c>
      <c r="BX26" s="1" t="s">
        <v>285</v>
      </c>
      <c r="BY26" s="1" t="s">
        <v>286</v>
      </c>
      <c r="BZ26">
        <v>16000177</v>
      </c>
      <c r="CA26" s="1" t="s">
        <v>168</v>
      </c>
      <c r="CB26">
        <v>4</v>
      </c>
      <c r="CC26">
        <v>8</v>
      </c>
      <c r="CD26" s="1" t="s">
        <v>178</v>
      </c>
      <c r="CE26">
        <v>3</v>
      </c>
      <c r="CF26">
        <v>8</v>
      </c>
      <c r="CG26" s="1" t="s">
        <v>141</v>
      </c>
      <c r="CH26">
        <v>7</v>
      </c>
      <c r="CI26">
        <v>13</v>
      </c>
      <c r="CJ26" s="1" t="s">
        <v>198</v>
      </c>
      <c r="CK26">
        <v>4</v>
      </c>
      <c r="CL26">
        <v>8</v>
      </c>
      <c r="CM26" s="1" t="s">
        <v>199</v>
      </c>
      <c r="CN26">
        <v>3</v>
      </c>
      <c r="CO26">
        <v>8</v>
      </c>
      <c r="CP26" s="1" t="s">
        <v>194</v>
      </c>
      <c r="CQ26">
        <v>2</v>
      </c>
      <c r="CR26">
        <v>8</v>
      </c>
      <c r="CS26" s="1" t="s">
        <v>157</v>
      </c>
      <c r="CT26">
        <v>6</v>
      </c>
      <c r="CU26">
        <v>11</v>
      </c>
      <c r="CV26" s="1" t="s">
        <v>159</v>
      </c>
      <c r="CW26">
        <v>7</v>
      </c>
      <c r="CX26">
        <v>13</v>
      </c>
      <c r="CY26" s="1" t="s">
        <v>287</v>
      </c>
      <c r="CZ26" s="1" t="s">
        <v>288</v>
      </c>
      <c r="DA26" s="1" t="s">
        <v>146</v>
      </c>
      <c r="DB26">
        <v>0</v>
      </c>
      <c r="DC26" s="1" t="s">
        <v>289</v>
      </c>
      <c r="DD26" s="1" t="s">
        <v>290</v>
      </c>
      <c r="DE26">
        <v>16000020</v>
      </c>
      <c r="DF26" s="1" t="s">
        <v>176</v>
      </c>
      <c r="DG26">
        <v>1</v>
      </c>
      <c r="DH26">
        <v>5</v>
      </c>
      <c r="DI26" s="1" t="s">
        <v>155</v>
      </c>
      <c r="DJ26">
        <v>11</v>
      </c>
      <c r="DK26">
        <v>13</v>
      </c>
      <c r="DL26" s="1" t="s">
        <v>164</v>
      </c>
      <c r="DM26">
        <v>7</v>
      </c>
      <c r="DN26">
        <v>11</v>
      </c>
      <c r="DO26" s="1" t="s">
        <v>170</v>
      </c>
      <c r="DP26">
        <v>2</v>
      </c>
      <c r="DQ26">
        <v>5</v>
      </c>
      <c r="DR26" s="1" t="s">
        <v>159</v>
      </c>
      <c r="DS26">
        <v>9</v>
      </c>
      <c r="DT26">
        <v>13</v>
      </c>
      <c r="DU26" s="1" t="s">
        <v>167</v>
      </c>
      <c r="DV26">
        <v>10</v>
      </c>
      <c r="DW26">
        <v>13</v>
      </c>
      <c r="DX26" s="1" t="s">
        <v>201</v>
      </c>
      <c r="DY26">
        <v>8</v>
      </c>
      <c r="DZ26">
        <v>11</v>
      </c>
      <c r="EA26" s="1" t="s">
        <v>186</v>
      </c>
      <c r="EB26">
        <v>7</v>
      </c>
      <c r="EC26">
        <v>11</v>
      </c>
      <c r="ED26">
        <f t="shared" si="0"/>
        <v>1</v>
      </c>
      <c r="EE26">
        <f t="shared" si="1"/>
        <v>1</v>
      </c>
      <c r="EF26" s="3">
        <f>ROUND(AVERAGE(VLOOKUP(Q26, E!A:B, 2, FALSE), VLOOKUP(T26, E!A:B, 2, FALSE), VLOOKUP(W26, E!A:B, 2, FALSE), VLOOKUP(Z26, E!A:B, 2, FALSE), VLOOKUP(AC26, E!A:B, 2, FALSE), VLOOKUP(AF26, E!A:B, 2, FALSE), VLOOKUP(AI26, E!A:B, 2, FALSE), VLOOKUP(AL26, E!A:B, 2, FALSE)), 1)</f>
        <v>3.5</v>
      </c>
      <c r="EG26" s="3">
        <f>ROUND(AVERAGE(VLOOKUP(CA26, E!A:B, 2, FALSE), VLOOKUP(CD26, E!A:B, 2, FALSE), VLOOKUP(CG26, E!A:B, 2, FALSE), VLOOKUP(CJ26, E!A:B, 2, FALSE), VLOOKUP(CM26, E!A:B, 2, FALSE), VLOOKUP(CP26, E!A:B, 2, FALSE), VLOOKUP(CS26, E!A:B, 2, FALSE), VLOOKUP(CV26, E!A:B, 2, FALSE)), 1)</f>
        <v>3.8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ABAFA-F714-47D0-928A-C3396769FFFB}">
  <sheetPr codeName="Sheet3"/>
  <dimension ref="A1:B87"/>
  <sheetViews>
    <sheetView workbookViewId="0">
      <selection activeCell="B7" sqref="B7"/>
    </sheetView>
  </sheetViews>
  <sheetFormatPr defaultRowHeight="12" x14ac:dyDescent="0.2"/>
  <cols>
    <col min="1" max="1" width="17.83203125" bestFit="1" customWidth="1"/>
  </cols>
  <sheetData>
    <row r="1" spans="1:2" x14ac:dyDescent="0.2">
      <c r="A1" t="s">
        <v>140</v>
      </c>
      <c r="B1">
        <v>3</v>
      </c>
    </row>
    <row r="2" spans="1:2" x14ac:dyDescent="0.2">
      <c r="A2" t="s">
        <v>167</v>
      </c>
      <c r="B2">
        <v>3</v>
      </c>
    </row>
    <row r="3" spans="1:2" x14ac:dyDescent="0.2">
      <c r="A3" t="s">
        <v>199</v>
      </c>
      <c r="B3">
        <v>4</v>
      </c>
    </row>
    <row r="4" spans="1:2" x14ac:dyDescent="0.2">
      <c r="A4" t="s">
        <v>168</v>
      </c>
      <c r="B4">
        <v>6</v>
      </c>
    </row>
    <row r="5" spans="1:2" x14ac:dyDescent="0.2">
      <c r="A5" t="s">
        <v>208</v>
      </c>
      <c r="B5">
        <v>3</v>
      </c>
    </row>
    <row r="6" spans="1:2" x14ac:dyDescent="0.2">
      <c r="A6" t="s">
        <v>148</v>
      </c>
      <c r="B6">
        <v>2</v>
      </c>
    </row>
    <row r="7" spans="1:2" x14ac:dyDescent="0.2">
      <c r="A7" t="s">
        <v>205</v>
      </c>
      <c r="B7">
        <v>7</v>
      </c>
    </row>
    <row r="8" spans="1:2" x14ac:dyDescent="0.2">
      <c r="A8" t="s">
        <v>225</v>
      </c>
      <c r="B8">
        <v>5</v>
      </c>
    </row>
    <row r="9" spans="1:2" x14ac:dyDescent="0.2">
      <c r="A9" t="s">
        <v>159</v>
      </c>
      <c r="B9">
        <v>2</v>
      </c>
    </row>
    <row r="10" spans="1:2" x14ac:dyDescent="0.2">
      <c r="A10" t="s">
        <v>160</v>
      </c>
      <c r="B10">
        <v>4</v>
      </c>
    </row>
    <row r="11" spans="1:2" x14ac:dyDescent="0.2">
      <c r="A11" t="s">
        <v>226</v>
      </c>
      <c r="B11">
        <v>4</v>
      </c>
    </row>
    <row r="12" spans="1:2" x14ac:dyDescent="0.2">
      <c r="A12" t="s">
        <v>227</v>
      </c>
      <c r="B12">
        <v>3</v>
      </c>
    </row>
    <row r="13" spans="1:2" x14ac:dyDescent="0.2">
      <c r="A13" t="s">
        <v>224</v>
      </c>
      <c r="B13">
        <v>6</v>
      </c>
    </row>
    <row r="14" spans="1:2" x14ac:dyDescent="0.2">
      <c r="A14" t="s">
        <v>211</v>
      </c>
      <c r="B14">
        <v>3</v>
      </c>
    </row>
    <row r="15" spans="1:2" x14ac:dyDescent="0.2">
      <c r="A15" t="s">
        <v>228</v>
      </c>
      <c r="B15">
        <v>4</v>
      </c>
    </row>
    <row r="16" spans="1:2" x14ac:dyDescent="0.2">
      <c r="A16" t="s">
        <v>181</v>
      </c>
      <c r="B16">
        <v>3</v>
      </c>
    </row>
    <row r="17" spans="1:2" x14ac:dyDescent="0.2">
      <c r="A17" t="s">
        <v>183</v>
      </c>
      <c r="B17">
        <v>4</v>
      </c>
    </row>
    <row r="18" spans="1:2" x14ac:dyDescent="0.2">
      <c r="A18" t="s">
        <v>139</v>
      </c>
      <c r="B18">
        <v>3</v>
      </c>
    </row>
    <row r="19" spans="1:2" x14ac:dyDescent="0.2">
      <c r="A19" t="s">
        <v>182</v>
      </c>
      <c r="B19">
        <v>4</v>
      </c>
    </row>
    <row r="20" spans="1:2" x14ac:dyDescent="0.2">
      <c r="A20" t="s">
        <v>207</v>
      </c>
      <c r="B20">
        <v>6</v>
      </c>
    </row>
    <row r="21" spans="1:2" x14ac:dyDescent="0.2">
      <c r="A21" t="s">
        <v>223</v>
      </c>
      <c r="B21">
        <v>6</v>
      </c>
    </row>
    <row r="22" spans="1:2" x14ac:dyDescent="0.2">
      <c r="A22" t="s">
        <v>185</v>
      </c>
      <c r="B22">
        <v>4</v>
      </c>
    </row>
    <row r="23" spans="1:2" x14ac:dyDescent="0.2">
      <c r="A23" t="s">
        <v>189</v>
      </c>
      <c r="B23">
        <v>2</v>
      </c>
    </row>
    <row r="24" spans="1:2" x14ac:dyDescent="0.2">
      <c r="A24" t="s">
        <v>142</v>
      </c>
      <c r="B24">
        <v>4</v>
      </c>
    </row>
    <row r="25" spans="1:2" x14ac:dyDescent="0.2">
      <c r="A25" t="s">
        <v>204</v>
      </c>
      <c r="B25">
        <v>4</v>
      </c>
    </row>
    <row r="26" spans="1:2" x14ac:dyDescent="0.2">
      <c r="A26" t="s">
        <v>178</v>
      </c>
      <c r="B26">
        <v>4</v>
      </c>
    </row>
    <row r="27" spans="1:2" x14ac:dyDescent="0.2">
      <c r="A27" t="s">
        <v>192</v>
      </c>
      <c r="B27">
        <v>4</v>
      </c>
    </row>
    <row r="28" spans="1:2" x14ac:dyDescent="0.2">
      <c r="A28" t="s">
        <v>201</v>
      </c>
      <c r="B28">
        <v>6</v>
      </c>
    </row>
    <row r="29" spans="1:2" x14ac:dyDescent="0.2">
      <c r="A29" t="s">
        <v>187</v>
      </c>
      <c r="B29">
        <v>6</v>
      </c>
    </row>
    <row r="30" spans="1:2" x14ac:dyDescent="0.2">
      <c r="A30" t="s">
        <v>217</v>
      </c>
      <c r="B30">
        <v>2</v>
      </c>
    </row>
    <row r="31" spans="1:2" x14ac:dyDescent="0.2">
      <c r="A31" t="s">
        <v>138</v>
      </c>
      <c r="B31">
        <v>3</v>
      </c>
    </row>
    <row r="32" spans="1:2" x14ac:dyDescent="0.2">
      <c r="A32" t="s">
        <v>158</v>
      </c>
      <c r="B32">
        <v>3</v>
      </c>
    </row>
    <row r="33" spans="1:2" x14ac:dyDescent="0.2">
      <c r="A33" t="s">
        <v>202</v>
      </c>
      <c r="B33">
        <v>5</v>
      </c>
    </row>
    <row r="34" spans="1:2" x14ac:dyDescent="0.2">
      <c r="A34" t="s">
        <v>174</v>
      </c>
      <c r="B34">
        <v>2</v>
      </c>
    </row>
    <row r="35" spans="1:2" x14ac:dyDescent="0.2">
      <c r="A35" t="s">
        <v>197</v>
      </c>
      <c r="B35">
        <v>8</v>
      </c>
    </row>
    <row r="36" spans="1:2" x14ac:dyDescent="0.2">
      <c r="A36" t="s">
        <v>216</v>
      </c>
      <c r="B36">
        <v>5</v>
      </c>
    </row>
    <row r="37" spans="1:2" x14ac:dyDescent="0.2">
      <c r="A37" t="s">
        <v>212</v>
      </c>
      <c r="B37">
        <v>3</v>
      </c>
    </row>
    <row r="38" spans="1:2" x14ac:dyDescent="0.2">
      <c r="A38" t="s">
        <v>229</v>
      </c>
      <c r="B38">
        <v>3</v>
      </c>
    </row>
    <row r="39" spans="1:2" x14ac:dyDescent="0.2">
      <c r="A39" t="s">
        <v>156</v>
      </c>
      <c r="B39">
        <v>4</v>
      </c>
    </row>
    <row r="40" spans="1:2" x14ac:dyDescent="0.2">
      <c r="A40" t="s">
        <v>230</v>
      </c>
      <c r="B40">
        <v>4</v>
      </c>
    </row>
    <row r="41" spans="1:2" x14ac:dyDescent="0.2">
      <c r="A41" t="s">
        <v>144</v>
      </c>
      <c r="B41">
        <v>2</v>
      </c>
    </row>
    <row r="42" spans="1:2" x14ac:dyDescent="0.2">
      <c r="A42" t="s">
        <v>215</v>
      </c>
      <c r="B42">
        <v>1</v>
      </c>
    </row>
    <row r="43" spans="1:2" x14ac:dyDescent="0.2">
      <c r="A43" t="s">
        <v>165</v>
      </c>
      <c r="B43">
        <v>4</v>
      </c>
    </row>
    <row r="44" spans="1:2" x14ac:dyDescent="0.2">
      <c r="A44" t="s">
        <v>170</v>
      </c>
      <c r="B44">
        <v>4</v>
      </c>
    </row>
    <row r="45" spans="1:2" x14ac:dyDescent="0.2">
      <c r="A45" t="s">
        <v>188</v>
      </c>
      <c r="B45">
        <v>5</v>
      </c>
    </row>
    <row r="46" spans="1:2" x14ac:dyDescent="0.2">
      <c r="A46" t="s">
        <v>173</v>
      </c>
      <c r="B46">
        <v>3</v>
      </c>
    </row>
    <row r="47" spans="1:2" x14ac:dyDescent="0.2">
      <c r="A47" t="s">
        <v>166</v>
      </c>
      <c r="B47">
        <v>7</v>
      </c>
    </row>
    <row r="48" spans="1:2" x14ac:dyDescent="0.2">
      <c r="A48" t="s">
        <v>209</v>
      </c>
      <c r="B48">
        <v>6</v>
      </c>
    </row>
    <row r="49" spans="1:2" x14ac:dyDescent="0.2">
      <c r="A49" t="s">
        <v>184</v>
      </c>
      <c r="B49">
        <v>4</v>
      </c>
    </row>
    <row r="50" spans="1:2" x14ac:dyDescent="0.2">
      <c r="A50" t="s">
        <v>152</v>
      </c>
      <c r="B50">
        <v>4</v>
      </c>
    </row>
    <row r="51" spans="1:2" x14ac:dyDescent="0.2">
      <c r="A51" t="s">
        <v>176</v>
      </c>
      <c r="B51">
        <v>7</v>
      </c>
    </row>
    <row r="52" spans="1:2" x14ac:dyDescent="0.2">
      <c r="A52" t="s">
        <v>163</v>
      </c>
      <c r="B52">
        <v>3</v>
      </c>
    </row>
    <row r="53" spans="1:2" x14ac:dyDescent="0.2">
      <c r="A53" t="s">
        <v>200</v>
      </c>
      <c r="B53">
        <v>3</v>
      </c>
    </row>
    <row r="54" spans="1:2" x14ac:dyDescent="0.2">
      <c r="A54" t="s">
        <v>206</v>
      </c>
      <c r="B54">
        <v>4</v>
      </c>
    </row>
    <row r="55" spans="1:2" x14ac:dyDescent="0.2">
      <c r="A55" t="s">
        <v>190</v>
      </c>
      <c r="B55">
        <v>5</v>
      </c>
    </row>
    <row r="56" spans="1:2" x14ac:dyDescent="0.2">
      <c r="A56" t="s">
        <v>169</v>
      </c>
      <c r="B56">
        <v>3</v>
      </c>
    </row>
    <row r="57" spans="1:2" x14ac:dyDescent="0.2">
      <c r="A57" t="s">
        <v>153</v>
      </c>
      <c r="B57">
        <v>0</v>
      </c>
    </row>
    <row r="58" spans="1:2" x14ac:dyDescent="0.2">
      <c r="A58" t="s">
        <v>143</v>
      </c>
      <c r="B58">
        <v>4</v>
      </c>
    </row>
    <row r="59" spans="1:2" x14ac:dyDescent="0.2">
      <c r="A59" t="s">
        <v>149</v>
      </c>
      <c r="B59">
        <v>4</v>
      </c>
    </row>
    <row r="60" spans="1:2" x14ac:dyDescent="0.2">
      <c r="A60" t="s">
        <v>196</v>
      </c>
      <c r="B60">
        <v>4</v>
      </c>
    </row>
    <row r="61" spans="1:2" x14ac:dyDescent="0.2">
      <c r="A61" t="s">
        <v>214</v>
      </c>
      <c r="B61">
        <v>7</v>
      </c>
    </row>
    <row r="62" spans="1:2" x14ac:dyDescent="0.2">
      <c r="A62" t="s">
        <v>177</v>
      </c>
      <c r="B62">
        <v>4</v>
      </c>
    </row>
    <row r="63" spans="1:2" x14ac:dyDescent="0.2">
      <c r="A63" t="s">
        <v>198</v>
      </c>
      <c r="B63">
        <v>5</v>
      </c>
    </row>
    <row r="64" spans="1:2" x14ac:dyDescent="0.2">
      <c r="A64" t="s">
        <v>175</v>
      </c>
      <c r="B64">
        <v>3</v>
      </c>
    </row>
    <row r="65" spans="1:2" x14ac:dyDescent="0.2">
      <c r="A65" t="s">
        <v>150</v>
      </c>
      <c r="B65">
        <v>2</v>
      </c>
    </row>
    <row r="66" spans="1:2" x14ac:dyDescent="0.2">
      <c r="A66" t="s">
        <v>210</v>
      </c>
      <c r="B66">
        <v>5</v>
      </c>
    </row>
    <row r="67" spans="1:2" x14ac:dyDescent="0.2">
      <c r="A67" t="s">
        <v>154</v>
      </c>
      <c r="B67">
        <v>6</v>
      </c>
    </row>
    <row r="68" spans="1:2" x14ac:dyDescent="0.2">
      <c r="A68" t="s">
        <v>147</v>
      </c>
      <c r="B68">
        <v>3</v>
      </c>
    </row>
    <row r="69" spans="1:2" x14ac:dyDescent="0.2">
      <c r="A69" t="s">
        <v>222</v>
      </c>
      <c r="B69">
        <v>6</v>
      </c>
    </row>
    <row r="70" spans="1:2" x14ac:dyDescent="0.2">
      <c r="A70" t="s">
        <v>151</v>
      </c>
      <c r="B70">
        <v>5</v>
      </c>
    </row>
    <row r="71" spans="1:2" x14ac:dyDescent="0.2">
      <c r="A71" t="s">
        <v>179</v>
      </c>
      <c r="B71">
        <v>8</v>
      </c>
    </row>
    <row r="72" spans="1:2" x14ac:dyDescent="0.2">
      <c r="A72" t="s">
        <v>194</v>
      </c>
      <c r="B72">
        <v>3</v>
      </c>
    </row>
    <row r="73" spans="1:2" x14ac:dyDescent="0.2">
      <c r="A73" t="s">
        <v>231</v>
      </c>
      <c r="B73">
        <v>3</v>
      </c>
    </row>
    <row r="74" spans="1:2" x14ac:dyDescent="0.2">
      <c r="A74" t="s">
        <v>195</v>
      </c>
      <c r="B74">
        <v>1</v>
      </c>
    </row>
    <row r="75" spans="1:2" x14ac:dyDescent="0.2">
      <c r="A75" t="s">
        <v>191</v>
      </c>
      <c r="B75">
        <v>6</v>
      </c>
    </row>
    <row r="76" spans="1:2" x14ac:dyDescent="0.2">
      <c r="A76" t="s">
        <v>155</v>
      </c>
      <c r="B76">
        <v>2</v>
      </c>
    </row>
    <row r="77" spans="1:2" x14ac:dyDescent="0.2">
      <c r="A77" t="s">
        <v>145</v>
      </c>
      <c r="B77">
        <v>4</v>
      </c>
    </row>
    <row r="78" spans="1:2" x14ac:dyDescent="0.2">
      <c r="A78" t="s">
        <v>162</v>
      </c>
      <c r="B78">
        <v>2</v>
      </c>
    </row>
    <row r="79" spans="1:2" x14ac:dyDescent="0.2">
      <c r="A79" t="s">
        <v>213</v>
      </c>
      <c r="B79">
        <v>9</v>
      </c>
    </row>
    <row r="80" spans="1:2" x14ac:dyDescent="0.2">
      <c r="A80" t="s">
        <v>164</v>
      </c>
      <c r="B80">
        <v>3</v>
      </c>
    </row>
    <row r="81" spans="1:2" x14ac:dyDescent="0.2">
      <c r="A81" t="s">
        <v>161</v>
      </c>
      <c r="B81">
        <v>3</v>
      </c>
    </row>
    <row r="82" spans="1:2" x14ac:dyDescent="0.2">
      <c r="A82" t="s">
        <v>157</v>
      </c>
      <c r="B82">
        <v>4</v>
      </c>
    </row>
    <row r="83" spans="1:2" x14ac:dyDescent="0.2">
      <c r="A83" t="s">
        <v>193</v>
      </c>
      <c r="B83">
        <v>5</v>
      </c>
    </row>
    <row r="84" spans="1:2" x14ac:dyDescent="0.2">
      <c r="A84" t="s">
        <v>186</v>
      </c>
      <c r="B84">
        <v>5</v>
      </c>
    </row>
    <row r="85" spans="1:2" x14ac:dyDescent="0.2">
      <c r="A85" t="s">
        <v>180</v>
      </c>
      <c r="B85">
        <v>6</v>
      </c>
    </row>
    <row r="86" spans="1:2" x14ac:dyDescent="0.2">
      <c r="A86" t="s">
        <v>141</v>
      </c>
      <c r="B86">
        <v>2</v>
      </c>
    </row>
    <row r="87" spans="1:2" x14ac:dyDescent="0.2">
      <c r="A87" t="s">
        <v>232</v>
      </c>
      <c r="B87">
        <v>4</v>
      </c>
    </row>
  </sheetData>
  <sortState ref="A1:A87">
    <sortCondition ref="A4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D36164-F9FE-43E1-8EE4-71081BBDC9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</vt:lpstr>
      <vt:lpstr>C</vt:lpstr>
      <vt:lpstr>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thegametwok</dc:creator>
  <cp:lastModifiedBy>thegametwok</cp:lastModifiedBy>
  <dcterms:created xsi:type="dcterms:W3CDTF">2018-08-09T03:40:24Z</dcterms:created>
  <dcterms:modified xsi:type="dcterms:W3CDTF">2018-09-05T04:25:36Z</dcterms:modified>
</cp:coreProperties>
</file>